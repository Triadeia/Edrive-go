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d32f5d185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69f21ce474304419"/>
    <x:sheet xmlns:r="http://schemas.openxmlformats.org/officeDocument/2006/relationships" name="Frota" sheetId="2" r:id="R6d110755d2f54f5e"/>
    <x:sheet xmlns:r="http://schemas.openxmlformats.org/officeDocument/2006/relationships" name="Motoristas" sheetId="3" r:id="Rcb5a71fa6d7246ee"/>
    <x:sheet xmlns:r="http://schemas.openxmlformats.org/officeDocument/2006/relationships" name="Marketing" sheetId="4" r:id="Rb2ca0bbc538a4808"/>
    <x:sheet xmlns:r="http://schemas.openxmlformats.org/officeDocument/2006/relationships" name="Funil" sheetId="5" r:id="R203b4d8605304ef0"/>
    <x:sheet xmlns:r="http://schemas.openxmlformats.org/officeDocument/2006/relationships" name="Equipe" sheetId="6" r:id="R2daf26f96cb24838"/>
    <x:sheet xmlns:r="http://schemas.openxmlformats.org/officeDocument/2006/relationships" name="Consorcio" sheetId="7" r:id="R486348a45b5646d4"/>
    <x:sheet xmlns:r="http://schemas.openxmlformats.org/officeDocument/2006/relationships" name="Custos" sheetId="8" r:id="Rd7dbb26a594a43c3"/>
    <x:sheet xmlns:r="http://schemas.openxmlformats.org/officeDocument/2006/relationships" name="DRE" sheetId="9" r:id="R0dfc4604fb0b4340"/>
    <x:sheet xmlns:r="http://schemas.openxmlformats.org/officeDocument/2006/relationships" name="Fluxo" sheetId="10" r:id="R1ef50bc8d94e4566"/>
    <x:sheet xmlns:r="http://schemas.openxmlformats.org/officeDocument/2006/relationships" name="Unit" sheetId="11" r:id="R7c1a87db003d43e6"/>
    <x:sheet xmlns:r="http://schemas.openxmlformats.org/officeDocument/2006/relationships" name="Cenarios" sheetId="12" r:id="R3643a6a2411b4321"/>
    <x:sheet xmlns:r="http://schemas.openxmlformats.org/officeDocument/2006/relationships" name="Sensibilidade" sheetId="13" r:id="R59c238e69b0c4b80"/>
    <x:sheet xmlns:r="http://schemas.openxmlformats.org/officeDocument/2006/relationships" name="Dashboard" sheetId="14" r:id="R1ccda00ab5b24a5f"/>
    <x:sheet xmlns:r="http://schemas.openxmlformats.org/officeDocument/2006/relationships" name="Riscos" sheetId="15" r:id="R555e580a598646fc"/>
    <x:sheet xmlns:r="http://schemas.openxmlformats.org/officeDocument/2006/relationships" name="Roadmap" sheetId="16" r:id="R1d318c842d9a447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60" formatCode="&quot;R$&quot; #,##0"/>
    <x:numFmt numFmtId="61" formatCode="0.0%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NumberFormat="1"/>
    <x:xf numFmtId="60" fontId="0" fillId="0" borderId="0" xfId="0" applyNumberFormat="1"/>
    <x:xf numFmtId="61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4f3111d64451c" /><Relationship Type="http://schemas.openxmlformats.org/officeDocument/2006/relationships/theme" Target="/xl/theme/theme1.xml" Id="Rca7ee83da9944f6e" /><Relationship Type="http://schemas.openxmlformats.org/officeDocument/2006/relationships/sheetMetadata" Target="/xl/metadata1.xml" Id="Ra39a30c52d1748fb" /><Relationship Type="http://schemas.openxmlformats.org/officeDocument/2006/relationships/sharedStrings" Target="/xl/sharedStrings.xml" Id="Rc50611a4d1464f08" /><Relationship Type="http://schemas.openxmlformats.org/officeDocument/2006/relationships/worksheet" Target="/xl/worksheets/sheet1.xml" Id="R69f21ce474304419" /><Relationship Type="http://schemas.openxmlformats.org/officeDocument/2006/relationships/worksheet" Target="/xl/worksheets/sheet2.xml" Id="R6d110755d2f54f5e" /><Relationship Type="http://schemas.openxmlformats.org/officeDocument/2006/relationships/worksheet" Target="/xl/worksheets/sheet3.xml" Id="Rcb5a71fa6d7246ee" /><Relationship Type="http://schemas.openxmlformats.org/officeDocument/2006/relationships/worksheet" Target="/xl/worksheets/sheet4.xml" Id="Rb2ca0bbc538a4808" /><Relationship Type="http://schemas.openxmlformats.org/officeDocument/2006/relationships/worksheet" Target="/xl/worksheets/sheet5.xml" Id="R203b4d8605304ef0" /><Relationship Type="http://schemas.openxmlformats.org/officeDocument/2006/relationships/worksheet" Target="/xl/worksheets/sheet6.xml" Id="R2daf26f96cb24838" /><Relationship Type="http://schemas.openxmlformats.org/officeDocument/2006/relationships/worksheet" Target="/xl/worksheets/sheet7.xml" Id="R486348a45b5646d4" /><Relationship Type="http://schemas.openxmlformats.org/officeDocument/2006/relationships/worksheet" Target="/xl/worksheets/sheet8.xml" Id="Rd7dbb26a594a43c3" /><Relationship Type="http://schemas.openxmlformats.org/officeDocument/2006/relationships/worksheet" Target="/xl/worksheets/sheet9.xml" Id="R0dfc4604fb0b4340" /><Relationship Type="http://schemas.openxmlformats.org/officeDocument/2006/relationships/worksheet" Target="/xl/worksheets/sheet10.xml" Id="R1ef50bc8d94e4566" /><Relationship Type="http://schemas.openxmlformats.org/officeDocument/2006/relationships/worksheet" Target="/xl/worksheets/sheet11.xml" Id="R7c1a87db003d43e6" /><Relationship Type="http://schemas.openxmlformats.org/officeDocument/2006/relationships/worksheet" Target="/xl/worksheets/sheet12.xml" Id="R3643a6a2411b4321" /><Relationship Type="http://schemas.openxmlformats.org/officeDocument/2006/relationships/worksheet" Target="/xl/worksheets/sheet13.xml" Id="R59c238e69b0c4b80" /><Relationship Type="http://schemas.openxmlformats.org/officeDocument/2006/relationships/worksheet" Target="/xl/worksheets/sheet14.xml" Id="R1ccda00ab5b24a5f" /><Relationship Type="http://schemas.openxmlformats.org/officeDocument/2006/relationships/worksheet" Target="/xl/worksheets/sheet15.xml" Id="R555e580a598646fc" /><Relationship Type="http://schemas.openxmlformats.org/officeDocument/2006/relationships/worksheet" Target="/xl/worksheets/sheet16.xml" Id="R1d318c842d9a44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34.83203125" customWidth="1"/>
    <x:col min="2" max="2" width="14.83203125" customWidth="1"/>
    <x:col min="3" max="3" width="10.83203125" customWidth="1"/>
    <x:col min="4" max="4" width="66.83203125" customWidth="1"/>
  </x:cols>
  <x:sheetData>
    <x:row r="1">
      <x:c r="A1" t="str">
        <x:v>eDrive Go — PREMISSAS DO MODELO FINANCEIRO</x:v>
      </x:c>
    </x:row>
    <x:row r="2">
      <x:c r="A2" t="str">
        <x:v>Locação de 100 BYD Dolphin Mini para motoristas de aplicativo</x:v>
      </x:c>
    </x:row>
    <x:row r="3">
      <x:c r="A3" t="str">
        <x:v>OBS: Valores são premissas iniciais editáveis; itens marcados 'a validar' exigem confirmação com locadora, contador e jurídico.</x:v>
      </x:c>
    </x:row>
    <x:row r="4">
      <x:c r="A4" t="str">
        <x:v>Variável</x:v>
      </x:c>
      <x:c r="B4" t="str">
        <x:v>Valor</x:v>
      </x:c>
      <x:c r="C4" t="str">
        <x:v>Unidade</x:v>
      </x:c>
      <x:c r="D4" t="str">
        <x:v>Observação / premissa a validar</x:v>
      </x:c>
    </x:row>
    <x:row r="5">
      <x:c r="A5" t="str">
        <x:v>Total de carros (frota)</x:v>
      </x:c>
      <x:c r="B5">
        <x:v>100</x:v>
      </x:c>
      <x:c r="C5" t="str">
        <x:v>un</x:v>
      </x:c>
      <x:c r="D5" t="str">
        <x:v>Capacidade contratada da frota</x:v>
      </x:c>
    </x:row>
    <x:row r="6">
      <x:c r="A6" t="str">
        <x:v>Custo aluguel do veículo /mês</x:v>
      </x:c>
      <x:c r="B6" s="1">
        <x:v>2800</x:v>
      </x:c>
      <x:c r="C6" t="str">
        <x:v>R$</x:v>
      </x:c>
      <x:c r="D6" t="str">
        <x:v>PREMISSA A VALIDAR com locadora (uso app/PJ, frota 100un)</x:v>
      </x:c>
    </x:row>
    <x:row r="7">
      <x:c r="A7" t="str">
        <x:v>Seguro /mês</x:v>
      </x:c>
      <x:c r="B7" s="1">
        <x:v>0</x:v>
      </x:c>
      <x:c r="C7" t="str">
        <x:v>R$</x:v>
      </x:c>
      <x:c r="D7" t="str">
        <x:v>Assumido incluso no aluguel — VALIDAR</x:v>
      </x:c>
    </x:row>
    <x:row r="8">
      <x:c r="A8" t="str">
        <x:v>Telemetria /mês</x:v>
      </x:c>
      <x:c r="B8" s="1">
        <x:v>45</x:v>
      </x:c>
      <x:c r="C8" t="str">
        <x:v>R$</x:v>
      </x:c>
      <x:c r="D8" t="str">
        <x:v>Rastreador + plataforma por carro</x:v>
      </x:c>
    </x:row>
    <x:row r="9">
      <x:c r="A9" t="str">
        <x:v>Manutenção /mês</x:v>
      </x:c>
      <x:c r="B9" s="1">
        <x:v>150</x:v>
      </x:c>
      <x:c r="C9" t="str">
        <x:v>R$</x:v>
      </x:c>
      <x:c r="D9" t="str">
        <x:v>Provisão por carro</x:v>
      </x:c>
    </x:row>
    <x:row r="10">
      <x:c r="A10" t="str">
        <x:v>Pneus /mês</x:v>
      </x:c>
      <x:c r="B10" s="1">
        <x:v>60</x:v>
      </x:c>
      <x:c r="C10" t="str">
        <x:v>R$</x:v>
      </x:c>
      <x:c r="D10" t="str">
        <x:v>Provisão por carro</x:v>
      </x:c>
    </x:row>
    <x:row r="11">
      <x:c r="A11" t="str">
        <x:v>Lavagem /mês</x:v>
      </x:c>
      <x:c r="B11" s="1">
        <x:v>80</x:v>
      </x:c>
      <x:c r="C11" t="str">
        <x:v>R$</x:v>
      </x:c>
      <x:c r="D11" t="str">
        <x:v>Provisão por carro</x:v>
      </x:c>
    </x:row>
    <x:row r="12">
      <x:c r="A12" t="str">
        <x:v>Pátio/Admin frota /mês</x:v>
      </x:c>
      <x:c r="B12" s="1">
        <x:v>120</x:v>
      </x:c>
      <x:c r="C12" t="str">
        <x:v>R$</x:v>
      </x:c>
      <x:c r="D12" t="str">
        <x:v>Rateio pátio e gestão por carro</x:v>
      </x:c>
    </x:row>
    <x:row r="13">
      <x:c r="A13" t="str">
        <x:v>% carros parados</x:v>
      </x:c>
      <x:c r="B13" s="2">
        <x:v>0.08</x:v>
      </x:c>
      <x:c r="C13" t="str">
        <x:v>%</x:v>
      </x:c>
      <x:c r="D13" t="str">
        <x:v>Inatividade: manutenção/troca</x:v>
      </x:c>
    </x:row>
    <x:row r="14">
      <x:c r="A14" t="str">
        <x:v>% sinistro /mês</x:v>
      </x:c>
      <x:c r="B14" s="2">
        <x:v>0.015</x:v>
      </x:c>
      <x:c r="C14" t="str">
        <x:v>%</x:v>
      </x:c>
      <x:c r="D14" t="str">
        <x:v>Prob. mensal de sinistro por carro — VALIDAR</x:v>
      </x:c>
    </x:row>
    <x:row r="15">
      <x:c r="A15" t="str">
        <x:v>Custo médio de sinistro</x:v>
      </x:c>
      <x:c r="B15" s="1">
        <x:v>2500</x:v>
      </x:c>
      <x:c r="C15" t="str">
        <x:v>R$</x:v>
      </x:c>
      <x:c r="D15" t="str">
        <x:v>Franquia/reparo médio — VALIDAR</x:v>
      </x:c>
    </x:row>
    <x:row r="16">
      <x:c r="A16" t="str">
        <x:v>Taxa de ocupação</x:v>
      </x:c>
      <x:c r="B16" s="2">
        <x:v>0.92</x:v>
      </x:c>
      <x:c r="C16" t="str">
        <x:v>%</x:v>
      </x:c>
      <x:c r="D16" t="str">
        <x:v>% de carros efetivamente locados</x:v>
      </x:c>
    </x:row>
    <x:row r="17">
      <x:c r="A17" t="str">
        <x:v>Valor mensal por motorista</x:v>
      </x:c>
      <x:c r="B17" s="1">
        <x:v>3900</x:v>
      </x:c>
      <x:c r="C17" t="str">
        <x:v>R$</x:v>
      </x:c>
      <x:c r="D17" t="str">
        <x:v>Receita de locação por motorista/mês</x:v>
      </x:c>
    </x:row>
    <x:row r="18">
      <x:c r="A18" t="str">
        <x:v>Taxa de ativação (setup)</x:v>
      </x:c>
      <x:c r="B18" s="1">
        <x:v>300</x:v>
      </x:c>
      <x:c r="C18" t="str">
        <x:v>R$</x:v>
      </x:c>
      <x:c r="D18" t="str">
        <x:v>Cobrança única na entrada</x:v>
      </x:c>
    </x:row>
    <x:row r="19">
      <x:c r="A19" t="str">
        <x:v>Entrada/sinal (caução)</x:v>
      </x:c>
      <x:c r="B19" s="1">
        <x:v>500</x:v>
      </x:c>
      <x:c r="C19" t="str">
        <x:v>R$</x:v>
      </x:c>
      <x:c r="D19" t="str">
        <x:v>Caução REEMBOLSÁVEL — NÃO é receita</x:v>
      </x:c>
    </x:row>
    <x:row r="20">
      <x:c r="A20" t="str">
        <x:v>Churn mensal</x:v>
      </x:c>
      <x:c r="B20" s="2">
        <x:v>0.06</x:v>
      </x:c>
      <x:c r="C20" t="str">
        <x:v>%</x:v>
      </x:c>
      <x:c r="D20" t="str">
        <x:v>% de motoristas que saem por mês</x:v>
      </x:c>
    </x:row>
    <x:row r="21">
      <x:c r="A21" t="str">
        <x:v>Inadimplência mensal</x:v>
      </x:c>
      <x:c r="B21" s="2">
        <x:v>0.07</x:v>
      </x:c>
      <x:c r="C21" t="str">
        <x:v>%</x:v>
      </x:c>
      <x:c r="D21" t="str">
        <x:v>% da receita não paga no mês</x:v>
      </x:c>
    </x:row>
    <x:row r="22">
      <x:c r="A22" t="str">
        <x:v>% recuperação inadimplência</x:v>
      </x:c>
      <x:c r="B22" s="2">
        <x:v>0.5</x:v>
      </x:c>
      <x:c r="C22" t="str">
        <x:v>%</x:v>
      </x:c>
      <x:c r="D22" t="str">
        <x:v>Parte recuperada da inadimplência</x:v>
      </x:c>
    </x:row>
    <x:row r="23">
      <x:c r="A23" t="str">
        <x:v>Prazo médio do contrato</x:v>
      </x:c>
      <x:c r="B23">
        <x:v>12</x:v>
      </x:c>
      <x:c r="C23" t="str">
        <x:v>meses</x:v>
      </x:c>
      <x:c r="D23" t="str">
        <x:v>Duração média do contrato</x:v>
      </x:c>
    </x:row>
    <x:row r="24">
      <x:c r="A24" t="str">
        <x:v>CPL (custo por lead)</x:v>
      </x:c>
      <x:c r="B24" s="1">
        <x:v>20</x:v>
      </x:c>
      <x:c r="C24" t="str">
        <x:v>R$</x:v>
      </x:c>
      <x:c r="D24" t="str">
        <x:v>Custo por lead de marketing</x:v>
      </x:c>
    </x:row>
    <x:row r="25">
      <x:c r="A25" t="str">
        <x:v>Investimento marketing /mês</x:v>
      </x:c>
      <x:c r="B25" s="1">
        <x:v>30000</x:v>
      </x:c>
      <x:c r="C25" t="str">
        <x:v>R$</x:v>
      </x:c>
      <x:c r="D25" t="str">
        <x:v>Verba mensal de mídia</x:v>
      </x:c>
    </x:row>
    <x:row r="26">
      <x:c r="A26" t="str">
        <x:v>Taxa lead → grupo</x:v>
      </x:c>
      <x:c r="B26" s="2">
        <x:v>0.5</x:v>
      </x:c>
      <x:c r="C26" t="str">
        <x:v>%</x:v>
      </x:c>
      <x:c r="D26" t="str">
        <x:v>Conversão lead para grupo</x:v>
      </x:c>
    </x:row>
    <x:row r="27">
      <x:c r="A27" t="str">
        <x:v>Taxa grupo → webinar</x:v>
      </x:c>
      <x:c r="B27" s="2">
        <x:v>0.35</x:v>
      </x:c>
      <x:c r="C27" t="str">
        <x:v>%</x:v>
      </x:c>
      <x:c r="D27" t="str">
        <x:v>Conversão grupo para webinar</x:v>
      </x:c>
    </x:row>
    <x:row r="28">
      <x:c r="A28" t="str">
        <x:v>Taxa de comparecimento</x:v>
      </x:c>
      <x:c r="B28" s="2">
        <x:v>0.5</x:v>
      </x:c>
      <x:c r="C28" t="str">
        <x:v>%</x:v>
      </x:c>
      <x:c r="D28" t="str">
        <x:v>Presença no webinar</x:v>
      </x:c>
    </x:row>
    <x:row r="29">
      <x:c r="A29" t="str">
        <x:v>Taxa de aplicação</x:v>
      </x:c>
      <x:c r="B29" s="2">
        <x:v>0.4</x:v>
      </x:c>
      <x:c r="C29" t="str">
        <x:v>%</x:v>
      </x:c>
      <x:c r="D29" t="str">
        <x:v>Preenche aplicação/cadastro</x:v>
      </x:c>
    </x:row>
    <x:row r="30">
      <x:c r="A30" t="str">
        <x:v>Taxa de aprovação (crédito)</x:v>
      </x:c>
      <x:c r="B30" s="2">
        <x:v>0.5</x:v>
      </x:c>
      <x:c r="C30" t="str">
        <x:v>%</x:v>
      </x:c>
      <x:c r="D30" t="str">
        <x:v>Aprovados na análise</x:v>
      </x:c>
    </x:row>
    <x:row r="31">
      <x:c r="A31" t="str">
        <x:v>Taxa de fechamento</x:v>
      </x:c>
      <x:c r="B31" s="2">
        <x:v>0.4</x:v>
      </x:c>
      <x:c r="C31" t="str">
        <x:v>%</x:v>
      </x:c>
      <x:c r="D31" t="str">
        <x:v>Aprovados que assinam contrato</x:v>
      </x:c>
    </x:row>
    <x:row r="32">
      <x:c r="A32" t="str">
        <x:v>Leads por SDR /mês</x:v>
      </x:c>
      <x:c r="B32">
        <x:v>400</x:v>
      </x:c>
      <x:c r="C32" t="str">
        <x:v>un</x:v>
      </x:c>
      <x:c r="D32" t="str">
        <x:v>Capacidade de um SDR</x:v>
      </x:c>
    </x:row>
    <x:row r="33">
      <x:c r="A33" t="str">
        <x:v>Oportunidades por Closer /mês</x:v>
      </x:c>
      <x:c r="B33">
        <x:v>120</x:v>
      </x:c>
      <x:c r="C33" t="str">
        <x:v>un</x:v>
      </x:c>
      <x:c r="D33" t="str">
        <x:v>Capacidade de um closer</x:v>
      </x:c>
    </x:row>
    <x:row r="34">
      <x:c r="A34" t="str">
        <x:v>Entregas por Operador /mês</x:v>
      </x:c>
      <x:c r="B34">
        <x:v>40</x:v>
      </x:c>
      <x:c r="C34" t="str">
        <x:v>un</x:v>
      </x:c>
      <x:c r="D34" t="str">
        <x:v>Capacidade de entrega de veículos</x:v>
      </x:c>
    </x:row>
    <x:row r="35">
      <x:c r="A35" t="str">
        <x:v>Aplicações por Analista /mês</x:v>
      </x:c>
      <x:c r="B35">
        <x:v>250</x:v>
      </x:c>
      <x:c r="C35" t="str">
        <x:v>un</x:v>
      </x:c>
      <x:c r="D35" t="str">
        <x:v>Capacidade de análise de crédito</x:v>
      </x:c>
    </x:row>
    <x:row r="36">
      <x:c r="A36" t="str">
        <x:v>Salário SDR</x:v>
      </x:c>
      <x:c r="B36" s="1">
        <x:v>2500</x:v>
      </x:c>
      <x:c r="C36" t="str">
        <x:v>R$</x:v>
      </x:c>
      <x:c r="D36" t="str">
        <x:v>Custo mensal por SDR</x:v>
      </x:c>
    </x:row>
    <x:row r="37">
      <x:c r="A37" t="str">
        <x:v>Salário Closer</x:v>
      </x:c>
      <x:c r="B37" s="1">
        <x:v>3500</x:v>
      </x:c>
      <x:c r="C37" t="str">
        <x:v>R$</x:v>
      </x:c>
      <x:c r="D37" t="str">
        <x:v>Custo mensal por closer (fixo)</x:v>
      </x:c>
    </x:row>
    <x:row r="38">
      <x:c r="A38" t="str">
        <x:v>Comissão por contrato</x:v>
      </x:c>
      <x:c r="B38" s="1">
        <x:v>200</x:v>
      </x:c>
      <x:c r="C38" t="str">
        <x:v>R$</x:v>
      </x:c>
      <x:c r="D38" t="str">
        <x:v>Comissão variável por contrato fechado</x:v>
      </x:c>
    </x:row>
    <x:row r="39">
      <x:c r="A39" t="str">
        <x:v>Salário Gerente Comercial</x:v>
      </x:c>
      <x:c r="B39" s="1">
        <x:v>8000</x:v>
      </x:c>
      <x:c r="C39" t="str">
        <x:v>R$</x:v>
      </x:c>
      <x:c r="D39" t="str">
        <x:v>1 gerente comercial</x:v>
      </x:c>
    </x:row>
    <x:row r="40">
      <x:c r="A40" t="str">
        <x:v>Salário Atendente</x:v>
      </x:c>
      <x:c r="B40" s="1">
        <x:v>2500</x:v>
      </x:c>
      <x:c r="C40" t="str">
        <x:v>R$</x:v>
      </x:c>
      <x:c r="D40" t="str">
        <x:v>Custo mensal por atendente</x:v>
      </x:c>
    </x:row>
    <x:row r="41">
      <x:c r="A41" t="str">
        <x:v>Carros por Gestor de Frota</x:v>
      </x:c>
      <x:c r="B41">
        <x:v>60</x:v>
      </x:c>
      <x:c r="C41" t="str">
        <x:v>un</x:v>
      </x:c>
      <x:c r="D41" t="str">
        <x:v>Span de controle da frota</x:v>
      </x:c>
    </x:row>
    <x:row r="42">
      <x:c r="A42" t="str">
        <x:v>Salário Gestor de Frota</x:v>
      </x:c>
      <x:c r="B42" s="1">
        <x:v>4000</x:v>
      </x:c>
      <x:c r="C42" t="str">
        <x:v>R$</x:v>
      </x:c>
      <x:c r="D42" t="str">
        <x:v>Custo mensal por gestor</x:v>
      </x:c>
    </x:row>
    <x:row r="43">
      <x:c r="A43" t="str">
        <x:v>Salário Operador (frota)</x:v>
      </x:c>
      <x:c r="B43" s="1">
        <x:v>2500</x:v>
      </x:c>
      <x:c r="C43" t="str">
        <x:v>R$</x:v>
      </x:c>
      <x:c r="D43" t="str">
        <x:v>Custo mensal por operador</x:v>
      </x:c>
    </x:row>
    <x:row r="44">
      <x:c r="A44" t="str">
        <x:v>Salário Analista (crédito)</x:v>
      </x:c>
      <x:c r="B44" s="1">
        <x:v>3000</x:v>
      </x:c>
      <x:c r="C44" t="str">
        <x:v>R$</x:v>
      </x:c>
      <x:c r="D44" t="str">
        <x:v>Custo mensal por analista</x:v>
      </x:c>
    </x:row>
    <x:row r="45">
      <x:c r="A45" t="str">
        <x:v>Tickets por motorista /mês</x:v>
      </x:c>
      <x:c r="B45">
        <x:v>1.2</x:v>
      </x:c>
      <x:c r="C45" t="str">
        <x:v>un</x:v>
      </x:c>
      <x:c r="D45" t="str">
        <x:v>Volume de atendimento</x:v>
      </x:c>
    </x:row>
    <x:row r="46">
      <x:c r="A46" t="str">
        <x:v>Capacidade tickets/atendente</x:v>
      </x:c>
      <x:c r="B46">
        <x:v>700</x:v>
      </x:c>
      <x:c r="C46" t="str">
        <x:v>un</x:v>
      </x:c>
      <x:c r="D46" t="str">
        <x:v>Tickets que 1 atendente resolve/mês</x:v>
      </x:c>
    </x:row>
    <x:row r="47">
      <x:c r="A47" t="str">
        <x:v>% interessados em consórcio</x:v>
      </x:c>
      <x:c r="B47" s="2">
        <x:v>0.2</x:v>
      </x:c>
      <x:c r="C47" t="str">
        <x:v>%</x:v>
      </x:c>
      <x:c r="D47" t="str">
        <x:v>Base que demonstra interesse</x:v>
      </x:c>
    </x:row>
    <x:row r="48">
      <x:c r="A48" t="str">
        <x:v>Taxa conversão consórcio</x:v>
      </x:c>
      <x:c r="B48" s="2">
        <x:v>0.15</x:v>
      </x:c>
      <x:c r="C48" t="str">
        <x:v>%</x:v>
      </x:c>
      <x:c r="D48" t="str">
        <x:v>Interessados que fecham consórcio</x:v>
      </x:c>
    </x:row>
    <x:row r="49">
      <x:c r="A49" t="str">
        <x:v>Comissão média consórcio</x:v>
      </x:c>
      <x:c r="B49" s="1">
        <x:v>1200</x:v>
      </x:c>
      <x:c r="C49" t="str">
        <x:v>R$</x:v>
      </x:c>
      <x:c r="D49" t="str">
        <x:v>Receita por adesão de consórcio</x:v>
      </x:c>
    </x:row>
    <x:row r="50">
      <x:c r="A50" t="str">
        <x:v>% cancelamento consórcio</x:v>
      </x:c>
      <x:c r="B50" s="2">
        <x:v>0.15</x:v>
      </x:c>
      <x:c r="C50" t="str">
        <x:v>%</x:v>
      </x:c>
      <x:c r="D50" t="str">
        <x:v>Provisão de cancelamento/estorno</x:v>
      </x:c>
    </x:row>
    <x:row r="51">
      <x:c r="A51" t="str">
        <x:v>Custo compliance por operação</x:v>
      </x:c>
      <x:c r="B51" s="1">
        <x:v>100</x:v>
      </x:c>
      <x:c r="C51" t="str">
        <x:v>R$</x:v>
      </x:c>
      <x:c r="D51" t="str">
        <x:v>Custo de compliance por adesão</x:v>
      </x:c>
    </x:row>
    <x:row r="52">
      <x:c r="A52" t="str">
        <x:v>Impostos sobre receita</x:v>
      </x:c>
      <x:c r="B52" s="2">
        <x:v>0.15</x:v>
      </x:c>
      <x:c r="C52" t="str">
        <x:v>%</x:v>
      </x:c>
      <x:c r="D52" t="str">
        <x:v>Simples/impostos sobre faturamento</x:v>
      </x:c>
    </x:row>
    <x:row r="53">
      <x:c r="A53" t="str">
        <x:v>Despesas administrativas /mês</x:v>
      </x:c>
      <x:c r="B53" s="1">
        <x:v>25000</x:v>
      </x:c>
      <x:c r="C53" t="str">
        <x:v>R$</x:v>
      </x:c>
      <x:c r="D53" t="str">
        <x:v>Aluguel, contabilidade, back-office</x:v>
      </x:c>
    </x:row>
    <x:row r="54">
      <x:c r="A54" t="str">
        <x:v>Ferramentas/Software /mês</x:v>
      </x:c>
      <x:c r="B54" s="1">
        <x:v>5000</x:v>
      </x:c>
      <x:c r="C54" t="str">
        <x:v>R$</x:v>
      </x:c>
      <x:c r="D54" t="str">
        <x:v>CRM, ERP, telefonia, cloud</x:v>
      </x:c>
    </x:row>
    <x:row r="55">
      <x:c r="A55" t="str">
        <x:v>Caixa inicial</x:v>
      </x:c>
      <x:c r="B55" s="1">
        <x:v>300000</x:v>
      </x:c>
      <x:c r="C55" t="str">
        <x:v>R$</x:v>
      </x:c>
      <x:c r="D55" t="str">
        <x:v>Capital disponível no mês 0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44.83203125" customWidth="1"/>
    <x:col min="2" max="2" width="20.83203125" customWidth="1"/>
    <x:col min="3" max="3" width="10.83203125" customWidth="1"/>
  </x:cols>
  <x:sheetData>
    <x:row r="1">
      <x:c r="A1" t="str">
        <x:v>FROTA — CUSTOS E OPERAÇÃO</x:v>
      </x:c>
    </x:row>
    <x:row r="2">
      <x:c r="A2" t="str">
        <x:v>Indicador</x:v>
      </x:c>
      <x:c r="B2" t="str">
        <x:v>Fórmula / Valor</x:v>
      </x:c>
      <x:c r="C2" t="str">
        <x:v>Unidade</x:v>
      </x:c>
    </x:row>
    <x:row r="3">
      <x:c r="A3" t="str">
        <x:v>Total de carros contratados</x:v>
      </x:c>
      <x:c r="B3" t="n">
        <x:f>Premissas!$B$5</x:f>
        <x:v>100</x:v>
      </x:c>
      <x:c r="C3" t="str">
        <x:v>un</x:v>
      </x:c>
    </x:row>
    <x:row r="4">
      <x:c r="A4" t="str">
        <x:v>% carros parados</x:v>
      </x:c>
      <x:c r="B4" t="n">
        <x:f>Premissas!$B$13</x:f>
        <x:v>0.08</x:v>
      </x:c>
      <x:c r="C4" t="str">
        <x:v>%</x:v>
      </x:c>
    </x:row>
    <x:row r="5">
      <x:c r="A5" t="str">
        <x:v>Carros disponíveis</x:v>
      </x:c>
      <x:c r="B5" t="n">
        <x:f>Premissas!$B$5*(1-Premissas!$B$13)</x:f>
        <x:v>92</x:v>
      </x:c>
      <x:c r="C5" t="str">
        <x:v>un</x:v>
      </x:c>
    </x:row>
    <x:row r="6">
      <x:c r="A6" t="str">
        <x:v>Taxa de ocupação</x:v>
      </x:c>
      <x:c r="B6" t="n">
        <x:f>Premissas!$B$16</x:f>
        <x:v>0.92</x:v>
      </x:c>
      <x:c r="C6" t="str">
        <x:v>%</x:v>
      </x:c>
    </x:row>
    <x:row r="7">
      <x:c r="A7" t="str">
        <x:v>Carros ativos (locados)</x:v>
      </x:c>
      <x:c r="B7" t="n">
        <x:f>Premissas!$B$5*(1-Premissas!$B$13)*Premissas!$B$16</x:f>
        <x:v>84.64</x:v>
      </x:c>
      <x:c r="C7" t="str">
        <x:v>un</x:v>
      </x:c>
    </x:row>
    <x:row r="8">
      <x:c r="A8" t="str">
        <x:v>Custo aluguel por carro /mês</x:v>
      </x:c>
      <x:c r="B8" t="n">
        <x:f>Premissas!$B$6</x:f>
        <x:v>2800</x:v>
      </x:c>
      <x:c r="C8" t="str">
        <x:v>R$</x:v>
      </x:c>
    </x:row>
    <x:row r="9">
      <x:c r="A9" t="str">
        <x:v>Seguro por carro /mês</x:v>
      </x:c>
      <x:c r="B9" t="n">
        <x:f>Premissas!$B$7</x:f>
        <x:v>0</x:v>
      </x:c>
      <x:c r="C9" t="str">
        <x:v>R$</x:v>
      </x:c>
    </x:row>
    <x:row r="10">
      <x:c r="A10" t="str">
        <x:v>Telemetria por carro /mês</x:v>
      </x:c>
      <x:c r="B10" t="n">
        <x:f>Premissas!$B$8</x:f>
        <x:v>45</x:v>
      </x:c>
      <x:c r="C10" t="str">
        <x:v>R$</x:v>
      </x:c>
    </x:row>
    <x:row r="11">
      <x:c r="A11" t="str">
        <x:v>Manutenção por carro /mês</x:v>
      </x:c>
      <x:c r="B11" t="n">
        <x:f>Premissas!$B$9</x:f>
        <x:v>150</x:v>
      </x:c>
      <x:c r="C11" t="str">
        <x:v>R$</x:v>
      </x:c>
    </x:row>
    <x:row r="12">
      <x:c r="A12" t="str">
        <x:v>Pneus por carro /mês</x:v>
      </x:c>
      <x:c r="B12" t="n">
        <x:f>Premissas!$B$10</x:f>
        <x:v>60</x:v>
      </x:c>
      <x:c r="C12" t="str">
        <x:v>R$</x:v>
      </x:c>
    </x:row>
    <x:row r="13">
      <x:c r="A13" t="str">
        <x:v>Lavagem por carro /mês</x:v>
      </x:c>
      <x:c r="B13" t="n">
        <x:f>Premissas!$B$11</x:f>
        <x:v>80</x:v>
      </x:c>
      <x:c r="C13" t="str">
        <x:v>R$</x:v>
      </x:c>
    </x:row>
    <x:row r="14">
      <x:c r="A14" t="str">
        <x:v>Pátio/Admin por carro /mês</x:v>
      </x:c>
      <x:c r="B14" t="n">
        <x:f>Premissas!$B$12</x:f>
        <x:v>120</x:v>
      </x:c>
      <x:c r="C14" t="str">
        <x:v>R$</x:v>
      </x:c>
    </x:row>
    <x:row r="15">
      <x:c r="A15" t="str">
        <x:v>Custo total por carro /mês</x:v>
      </x:c>
      <x:c r="B15" t="n">
        <x:f>Premissas!$B$6+Premissas!$B$7+Premissas!$B$8+Premissas!$B$9+Premissas!$B$10+Premissas!$B$11+Premissas!$B$12</x:f>
        <x:v>3255</x:v>
      </x:c>
      <x:c r="C15" t="str">
        <x:v>R$</x:v>
      </x:c>
    </x:row>
    <x:row r="16">
      <x:c r="A16" t="str">
        <x:v>Custo total da frota /mês (todos os carros)</x:v>
      </x:c>
      <x:c r="B16" t="n">
        <x:f>B15*B3</x:f>
        <x:v>325500</x:v>
      </x:c>
      <x:c r="C16" t="str">
        <x:v>R$</x:v>
      </x:c>
    </x:row>
    <x:row r="17">
      <x:c r="A17" t="str">
        <x:v>Sinistros esperados /mês</x:v>
      </x:c>
      <x:c r="B17" t="n">
        <x:f>B3*Premissas!$B$14</x:f>
        <x:v>1.5</x:v>
      </x:c>
      <x:c r="C17" t="str">
        <x:v>un</x:v>
      </x:c>
    </x:row>
    <x:row r="18">
      <x:c r="A18" t="str">
        <x:v>Custo esperado de sinistros /mês</x:v>
      </x:c>
      <x:c r="B18" t="n">
        <x:f>B3*Premissas!$B$14*Premissas!$B$15</x:f>
        <x:v>3750</x:v>
      </x:c>
      <x:c r="C18" t="str">
        <x:v>R$</x:v>
      </x:c>
    </x:row>
    <x:row r="19">
      <x:c r="A19" t="str">
        <x:v>Custo de inatividade /mês (carros parados)</x:v>
      </x:c>
      <x:c r="B19" t="n">
        <x:f>Premissas!$B$5*Premissas!$B$13*B15</x:f>
        <x:v>26040</x:v>
      </x:c>
      <x:c r="C19" t="str">
        <x:v>R$</x:v>
      </x:c>
    </x:row>
    <x:row r="20">
      <x:c r="A20" t="str">
        <x:v>Custo operacional frota /mês (total + sinistros)</x:v>
      </x:c>
      <x:c r="B20" t="n">
        <x:f>B16+B18</x:f>
        <x:v>329250</x:v>
      </x:c>
      <x:c r="C20" t="str">
        <x:v>R$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44.83203125" customWidth="1"/>
    <x:col min="2" max="2" width="18.83203125" customWidth="1"/>
    <x:col min="3" max="3" width="10.83203125" customWidth="1"/>
  </x:cols>
  <x:sheetData>
    <x:row r="1">
      <x:c r="A1" t="str">
        <x:v>MOTORISTAS — RECEITA E RETENÇÃO</x:v>
      </x:c>
    </x:row>
    <x:row r="2">
      <x:c r="A2" t="str">
        <x:v>Indicador</x:v>
      </x:c>
      <x:c r="B2" t="str">
        <x:v>Fórmula / Valor</x:v>
      </x:c>
      <x:c r="C2" t="str">
        <x:v>Unidade</x:v>
      </x:c>
    </x:row>
    <x:row r="3">
      <x:c r="A3" t="str">
        <x:v>Carros ativos (locados)</x:v>
      </x:c>
      <x:c r="B3" t="n">
        <x:f>Frota!B7</x:f>
        <x:v>84.64</x:v>
      </x:c>
      <x:c r="C3" t="str">
        <x:v>un</x:v>
      </x:c>
    </x:row>
    <x:row r="4">
      <x:c r="A4" t="str">
        <x:v>Valor mensal por motorista</x:v>
      </x:c>
      <x:c r="B4" t="n">
        <x:f>Premissas!$B$17</x:f>
        <x:v>3900</x:v>
      </x:c>
      <x:c r="C4" t="str">
        <x:v>R$</x:v>
      </x:c>
    </x:row>
    <x:row r="5">
      <x:c r="A5" t="str">
        <x:v>Receita bruta locação /mês</x:v>
      </x:c>
      <x:c r="B5" t="n">
        <x:f>B3*B4</x:f>
        <x:v>330096</x:v>
      </x:c>
      <x:c r="C5" t="str">
        <x:v>R$</x:v>
      </x:c>
    </x:row>
    <x:row r="6">
      <x:c r="A6" t="str">
        <x:v>Churn mensal</x:v>
      </x:c>
      <x:c r="B6" t="n">
        <x:f>Premissas!$B$20</x:f>
        <x:v>0.06</x:v>
      </x:c>
      <x:c r="C6" t="str">
        <x:v>%</x:v>
      </x:c>
    </x:row>
    <x:row r="7">
      <x:c r="A7" t="str">
        <x:v>Motoristas perdidos /mês (churn)</x:v>
      </x:c>
      <x:c r="B7" t="n">
        <x:f>B3*Premissas!$B$20</x:f>
        <x:v>5.0784</x:v>
      </x:c>
      <x:c r="C7" t="str">
        <x:v>un</x:v>
      </x:c>
    </x:row>
    <x:row r="8">
      <x:c r="A8" t="str">
        <x:v>Perda de receita por churn /mês</x:v>
      </x:c>
      <x:c r="B8" t="n">
        <x:f>B7*B4</x:f>
        <x:v>19805.760000000002</x:v>
      </x:c>
      <x:c r="C8" t="str">
        <x:v>R$</x:v>
      </x:c>
    </x:row>
    <x:row r="9">
      <x:c r="A9" t="str">
        <x:v>Inadimplência mensal</x:v>
      </x:c>
      <x:c r="B9" t="n">
        <x:f>Premissas!$B$21</x:f>
        <x:v>0.07</x:v>
      </x:c>
      <x:c r="C9" t="str">
        <x:v>%</x:v>
      </x:c>
    </x:row>
    <x:row r="10">
      <x:c r="A10" t="str">
        <x:v>Receita inadimplente /mês</x:v>
      </x:c>
      <x:c r="B10" t="n">
        <x:f>B5*Premissas!$B$21</x:f>
        <x:v>23106.72</x:v>
      </x:c>
      <x:c r="C10" t="str">
        <x:v>R$</x:v>
      </x:c>
    </x:row>
    <x:row r="11">
      <x:c r="A11" t="str">
        <x:v>% recuperação inadimplência</x:v>
      </x:c>
      <x:c r="B11" t="n">
        <x:f>Premissas!$B$22</x:f>
        <x:v>0.5</x:v>
      </x:c>
      <x:c r="C11" t="str">
        <x:v>%</x:v>
      </x:c>
    </x:row>
    <x:row r="12">
      <x:c r="A12" t="str">
        <x:v>Perda líquida por inadimplência /mês</x:v>
      </x:c>
      <x:c r="B12" t="n">
        <x:f>B10*(1-Premissas!$B$22)</x:f>
        <x:v>11553.36</x:v>
      </x:c>
      <x:c r="C12" t="str">
        <x:v>R$</x:v>
      </x:c>
    </x:row>
    <x:row r="13">
      <x:c r="A13" t="str">
        <x:v>Taxa de ativação (setup) por motorista</x:v>
      </x:c>
      <x:c r="B13" t="n">
        <x:f>Premissas!$B$18</x:f>
        <x:v>300</x:v>
      </x:c>
      <x:c r="C13" t="str">
        <x:v>R$</x:v>
      </x:c>
    </x:row>
    <x:row r="14">
      <x:c r="A14" t="str">
        <x:v>Vida média do cliente (1/churn)</x:v>
      </x:c>
      <x:c r="B14" t="n">
        <x:f>1/Premissas!$B$20</x:f>
        <x:v>16.666666666666668</x:v>
      </x:c>
      <x:c r="C14" t="str">
        <x:v>meses</x:v>
      </x:c>
    </x:row>
    <x:row r="15">
      <x:c r="A15" t="str">
        <x:v>Prazo médio de contrato</x:v>
      </x:c>
      <x:c r="B15" t="n">
        <x:f>Premissas!$B$23</x:f>
        <x:v>12</x:v>
      </x:c>
      <x:c r="C15" t="str">
        <x:v>meses</x:v>
      </x:c>
    </x:row>
    <x:row r="16">
      <x:c r="A16" t="str">
        <x:v>Receita por carro ativo /mês (líq. inad.)</x:v>
      </x:c>
      <x:c r="B16" t="n">
        <x:f>B4*(1-Premissas!$B$21*(1-Premissas!$B$22))</x:f>
        <x:v>3763.5</x:v>
      </x:c>
      <x:c r="C16" t="str">
        <x:v>R$</x:v>
      </x:c>
    </x:row>
    <x:row r="17">
      <x:c r="A17" t="str">
        <x:v>LTV por motorista (receita líq. × vida média)</x:v>
      </x:c>
      <x:c r="B17" t="n">
        <x:f>B16*B14</x:f>
        <x:v>62725.00000000001</x:v>
      </x:c>
      <x:c r="C17" t="str">
        <x:v>R$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42.83203125" customWidth="1"/>
    <x:col min="2" max="2" width="18.83203125" customWidth="1"/>
    <x:col min="3" max="3" width="10.83203125" customWidth="1"/>
  </x:cols>
  <x:sheetData>
    <x:row r="1">
      <x:c r="A1" t="str">
        <x:v>MARKETING — FUNIL DE AQUISIÇÃO</x:v>
      </x:c>
    </x:row>
    <x:row r="2">
      <x:c r="A2" t="str">
        <x:v>Etapa</x:v>
      </x:c>
      <x:c r="B2" t="str">
        <x:v>Valor / Fórmula</x:v>
      </x:c>
      <x:c r="C2" t="str">
        <x:v>Unidade</x:v>
      </x:c>
    </x:row>
    <x:row r="3">
      <x:c r="A3" t="str">
        <x:v>Investimento marketing /mês</x:v>
      </x:c>
      <x:c r="B3" t="n">
        <x:f>Premissas!$B$25</x:f>
        <x:v>30000</x:v>
      </x:c>
      <x:c r="C3" t="str">
        <x:v>R$</x:v>
      </x:c>
    </x:row>
    <x:row r="4">
      <x:c r="A4" t="str">
        <x:v>CPL (custo por lead)</x:v>
      </x:c>
      <x:c r="B4" t="n">
        <x:f>Premissas!$B$24</x:f>
        <x:v>20</x:v>
      </x:c>
      <x:c r="C4" t="str">
        <x:v>R$</x:v>
      </x:c>
    </x:row>
    <x:row r="5">
      <x:c r="A5" t="str">
        <x:v>Leads gerados</x:v>
      </x:c>
      <x:c r="B5" t="n">
        <x:f>B3/B4</x:f>
        <x:v>1500</x:v>
      </x:c>
      <x:c r="C5" t="str">
        <x:v>un</x:v>
      </x:c>
    </x:row>
    <x:row r="6">
      <x:c r="A6" t="str">
        <x:v>→ Grupo (leads × tx)</x:v>
      </x:c>
      <x:c r="B6" t="n">
        <x:f>B5*Premissas!$B$26</x:f>
        <x:v>750</x:v>
      </x:c>
      <x:c r="C6" t="str">
        <x:v>un</x:v>
      </x:c>
    </x:row>
    <x:row r="7">
      <x:c r="A7" t="str">
        <x:v>→ Webinar (grupo × tx)</x:v>
      </x:c>
      <x:c r="B7" t="n">
        <x:f>B6*Premissas!$B$27</x:f>
        <x:v>262.5</x:v>
      </x:c>
      <x:c r="C7" t="str">
        <x:v>un</x:v>
      </x:c>
    </x:row>
    <x:row r="8">
      <x:c r="A8" t="str">
        <x:v>Comparecimento webinar</x:v>
      </x:c>
      <x:c r="B8" t="n">
        <x:f>B7*Premissas!$B$28</x:f>
        <x:v>131.25</x:v>
      </x:c>
      <x:c r="C8" t="str">
        <x:v>un</x:v>
      </x:c>
    </x:row>
    <x:row r="9">
      <x:c r="A9" t="str">
        <x:v>Aplicações</x:v>
      </x:c>
      <x:c r="B9" t="n">
        <x:f>B8*Premissas!$B$29</x:f>
        <x:v>52.5</x:v>
      </x:c>
      <x:c r="C9" t="str">
        <x:v>un</x:v>
      </x:c>
    </x:row>
    <x:row r="10">
      <x:c r="A10" t="str">
        <x:v>Aprovados (crédito)</x:v>
      </x:c>
      <x:c r="B10" t="n">
        <x:f>B9*Premissas!$B$30</x:f>
        <x:v>26.25</x:v>
      </x:c>
      <x:c r="C10" t="str">
        <x:v>un</x:v>
      </x:c>
    </x:row>
    <x:row r="11">
      <x:c r="A11" t="str">
        <x:v>Contratos fechados /mês</x:v>
      </x:c>
      <x:c r="B11" t="n">
        <x:f>B10*Premissas!$B$31</x:f>
        <x:v>10.5</x:v>
      </x:c>
      <x:c r="C11" t="str">
        <x:v>un</x:v>
      </x:c>
    </x:row>
    <x:row r="12">
      <x:c r="A12" t="str">
        <x:v>CAC (custo de aquisição por contrato)</x:v>
      </x:c>
      <x:c r="B12" t="n">
        <x:f>B3/B11</x:f>
        <x:v>2857.1428571428573</x:v>
      </x:c>
      <x:c r="C12" t="str">
        <x:v>R$</x:v>
      </x:c>
    </x:row>
    <x:row r="13">
      <x:c r="A13" t="str">
        <x:v>Receita 1º mês por contrato</x:v>
      </x:c>
      <x:c r="B13" t="n">
        <x:f>Motoristas!B4+Premissas!$B$18</x:f>
        <x:v>4200</x:v>
      </x:c>
      <x:c r="C13" t="str">
        <x:v>R$</x:v>
      </x:c>
    </x:row>
    <x:row r="14">
      <x:c r="A14" t="str">
        <x:v>Receita gerada pelos novos contratos /mês</x:v>
      </x:c>
      <x:c r="B14" t="n">
        <x:f>B11*B13</x:f>
        <x:v>44100</x:v>
      </x:c>
      <x:c r="C14" t="str">
        <x:v>R$</x:v>
      </x:c>
    </x:row>
    <x:row r="15">
      <x:c r="A15" t="str">
        <x:v>ROAS (retorno sobre investimento)</x:v>
      </x:c>
      <x:c r="B15" t="n">
        <x:f>B14/B3</x:f>
        <x:v>1.47</x:v>
      </x:c>
      <x:c r="C15" t="str">
        <x:v>x</x:v>
      </x:c>
    </x:row>
    <x:row r="16">
      <x:c r="A16" t="str">
        <x:v>Conversão total do funil (contratos/leads)</x:v>
      </x:c>
      <x:c r="B16" s="2" t="n">
        <x:f>B11/B5</x:f>
        <x:v>0.007</x:v>
      </x:c>
      <x:c r="C16" t="str">
        <x:v>%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24.83203125" customWidth="1"/>
    <x:col min="2" max="2" width="10.83203125" customWidth="1"/>
    <x:col min="3" max="3" width="14.83203125" customWidth="1"/>
    <x:col min="4" max="4" width="14.83203125" customWidth="1"/>
    <x:col min="5" max="5" width="14.83203125" customWidth="1"/>
  </x:cols>
  <x:sheetData>
    <x:row r="1">
      <x:c r="A1" t="str">
        <x:v>FUNIL DE VENDAS — TAXAS E METAS</x:v>
      </x:c>
    </x:row>
    <x:row r="2">
      <x:c r="A2" t="str">
        <x:v>Etapa</x:v>
      </x:c>
      <x:c r="B2" t="str">
        <x:v>Taxa</x:v>
      </x:c>
      <x:c r="C2" t="str">
        <x:v>Conservador</x:v>
      </x:c>
      <x:c r="D2" t="str">
        <x:v>Base</x:v>
      </x:c>
      <x:c r="E2" t="str">
        <x:v>Agressivo</x:v>
      </x:c>
    </x:row>
    <x:row r="3">
      <x:c r="A3" t="str">
        <x:v>Leads</x:v>
      </x:c>
      <x:c r="B3" t="str"/>
      <x:c r="C3" t="n">
        <x:f>Marketing!B5*0.7</x:f>
        <x:v>1050</x:v>
      </x:c>
      <x:c r="D3" t="n">
        <x:f>Marketing!B5</x:f>
        <x:v>1500</x:v>
      </x:c>
      <x:c r="E3" t="n">
        <x:f>Marketing!B5*1.3</x:f>
        <x:v>1950</x:v>
      </x:c>
    </x:row>
    <x:row r="4">
      <x:c r="A4" t="str">
        <x:v>Lead → Grupo</x:v>
      </x:c>
      <x:c r="B4" t="n">
        <x:f>Premissas!$B$26</x:f>
        <x:v>0.5</x:v>
      </x:c>
      <x:c r="C4" t="n">
        <x:f>C3*Premissas!$B$26</x:f>
        <x:v>525</x:v>
      </x:c>
      <x:c r="D4" t="n">
        <x:f>D3*Premissas!$B$26</x:f>
        <x:v>750</x:v>
      </x:c>
      <x:c r="E4" t="n">
        <x:f>E3*Premissas!$B$26</x:f>
        <x:v>975</x:v>
      </x:c>
    </x:row>
    <x:row r="5">
      <x:c r="A5" t="str">
        <x:v>Grupo → Webinar</x:v>
      </x:c>
      <x:c r="B5" t="n">
        <x:f>Premissas!$B$27</x:f>
        <x:v>0.35</x:v>
      </x:c>
      <x:c r="C5" t="n">
        <x:f>C4*Premissas!$B$27</x:f>
        <x:v>183.75</x:v>
      </x:c>
      <x:c r="D5" t="n">
        <x:f>D4*Premissas!$B$27</x:f>
        <x:v>262.5</x:v>
      </x:c>
      <x:c r="E5" t="n">
        <x:f>E4*Premissas!$B$27</x:f>
        <x:v>341.25</x:v>
      </x:c>
    </x:row>
    <x:row r="6">
      <x:c r="A6" t="str">
        <x:v>Comparecimento</x:v>
      </x:c>
      <x:c r="B6" t="n">
        <x:f>Premissas!$B$28</x:f>
        <x:v>0.5</x:v>
      </x:c>
      <x:c r="C6" t="n">
        <x:f>C5*Premissas!$B$28</x:f>
        <x:v>91.875</x:v>
      </x:c>
      <x:c r="D6" t="n">
        <x:f>D5*Premissas!$B$28</x:f>
        <x:v>131.25</x:v>
      </x:c>
      <x:c r="E6" t="n">
        <x:f>E5*Premissas!$B$28</x:f>
        <x:v>170.625</x:v>
      </x:c>
    </x:row>
    <x:row r="7">
      <x:c r="A7" t="str">
        <x:v>Aplicação</x:v>
      </x:c>
      <x:c r="B7" t="n">
        <x:f>Premissas!$B$29</x:f>
        <x:v>0.4</x:v>
      </x:c>
      <x:c r="C7" t="n">
        <x:f>C6*Premissas!$B$29</x:f>
        <x:v>36.75</x:v>
      </x:c>
      <x:c r="D7" t="n">
        <x:f>D6*Premissas!$B$29</x:f>
        <x:v>52.5</x:v>
      </x:c>
      <x:c r="E7" t="n">
        <x:f>E6*Premissas!$B$29</x:f>
        <x:v>68.25</x:v>
      </x:c>
    </x:row>
    <x:row r="8">
      <x:c r="A8" t="str">
        <x:v>Aprovação</x:v>
      </x:c>
      <x:c r="B8" t="n">
        <x:f>Premissas!$B$30</x:f>
        <x:v>0.5</x:v>
      </x:c>
      <x:c r="C8" t="n">
        <x:f>C7*Premissas!$B$30</x:f>
        <x:v>18.375</x:v>
      </x:c>
      <x:c r="D8" t="n">
        <x:f>D7*Premissas!$B$30</x:f>
        <x:v>26.25</x:v>
      </x:c>
      <x:c r="E8" t="n">
        <x:f>E7*Premissas!$B$30</x:f>
        <x:v>34.125</x:v>
      </x:c>
    </x:row>
    <x:row r="9">
      <x:c r="A9" t="str">
        <x:v>Fechamento</x:v>
      </x:c>
      <x:c r="B9" t="n">
        <x:f>Premissas!$B$31</x:f>
        <x:v>0.4</x:v>
      </x:c>
      <x:c r="C9" t="n">
        <x:f>C8*0.75</x:f>
        <x:v>13.78125</x:v>
      </x:c>
      <x:c r="D9" t="n">
        <x:f>D8*Premissas!$B$31</x:f>
        <x:v>10.5</x:v>
      </x:c>
      <x:c r="E9" t="n">
        <x:f>E8*1.25</x:f>
        <x:v>42.65625</x:v>
      </x:c>
    </x:row>
    <x:row r="10">
      <x:c r="A10" t="str">
        <x:v>CONTRATOS /mês</x:v>
      </x:c>
      <x:c r="B10" t="str"/>
      <x:c r="C10" t="n">
        <x:f>C9</x:f>
        <x:v>13.78125</x:v>
      </x:c>
      <x:c r="D10" t="n">
        <x:f>D9</x:f>
        <x:v>10.5</x:v>
      </x:c>
      <x:c r="E10" t="n">
        <x:f>E9</x:f>
        <x:v>42.65625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26.83203125" customWidth="1"/>
    <x:col min="2" max="2" width="20.83203125" customWidth="1"/>
    <x:col min="3" max="3" width="12.83203125" customWidth="1"/>
    <x:col min="4" max="4" width="14.83203125" customWidth="1"/>
    <x:col min="5" max="5" width="18.83203125" customWidth="1"/>
  </x:cols>
  <x:sheetData>
    <x:row r="1">
      <x:c r="A1" t="str">
        <x:v>EQUIPE — DIMENSIONAMENTO E CUSTO</x:v>
      </x:c>
    </x:row>
    <x:row r="2">
      <x:c r="A2" t="str">
        <x:v>Função</x:v>
      </x:c>
      <x:c r="B2" t="str">
        <x:v>Base de cálculo</x:v>
      </x:c>
      <x:c r="C2" t="str">
        <x:v>Qtde (ceil)</x:v>
      </x:c>
      <x:c r="D2" t="str">
        <x:v>Salário unit.</x:v>
      </x:c>
      <x:c r="E2" t="str">
        <x:v>Custo total /mês</x:v>
      </x:c>
    </x:row>
    <x:row r="3">
      <x:c r="A3" t="str">
        <x:v>SDR</x:v>
      </x:c>
      <x:c r="B3" t="n">
        <x:f>Marketing!B5</x:f>
        <x:v>1500</x:v>
      </x:c>
      <x:c r="C3" t="n">
        <x:f>ROUNDUP(B3/Premissas!$B$32,0)</x:f>
        <x:v>4</x:v>
      </x:c>
      <x:c r="D3" t="n">
        <x:f>Premissas!$B$36</x:f>
        <x:v>2500</x:v>
      </x:c>
      <x:c r="E3" t="n">
        <x:f>C3*D3</x:f>
        <x:v>10000</x:v>
      </x:c>
    </x:row>
    <x:row r="4">
      <x:c r="A4" t="str">
        <x:v>Closer</x:v>
      </x:c>
      <x:c r="B4" t="n">
        <x:f>Marketing!B11</x:f>
        <x:v>10.5</x:v>
      </x:c>
      <x:c r="C4" t="n">
        <x:f>ROUNDUP(B4/(Premissas!$B$33*Premissas!$B$31),0)</x:f>
        <x:v>1</x:v>
      </x:c>
      <x:c r="D4" t="n">
        <x:f>Premissas!$B$37</x:f>
        <x:v>3500</x:v>
      </x:c>
      <x:c r="E4" t="n">
        <x:f>C4*D4</x:f>
        <x:v>3500</x:v>
      </x:c>
    </x:row>
    <x:row r="5">
      <x:c r="A5" t="str">
        <x:v>Atendente (suporte)</x:v>
      </x:c>
      <x:c r="B5" t="n">
        <x:f>Frota!B7*Premissas!$B$45</x:f>
        <x:v>101.568</x:v>
      </x:c>
      <x:c r="C5" t="n">
        <x:f>ROUNDUP(B5/Premissas!$B$46,0)</x:f>
        <x:v>1</x:v>
      </x:c>
      <x:c r="D5" t="n">
        <x:f>Premissas!$B$40</x:f>
        <x:v>2500</x:v>
      </x:c>
      <x:c r="E5" t="n">
        <x:f>C5*D5</x:f>
        <x:v>2500</x:v>
      </x:c>
    </x:row>
    <x:row r="6">
      <x:c r="A6" t="str">
        <x:v>Gestor de Frota</x:v>
      </x:c>
      <x:c r="B6" t="n">
        <x:f>Premissas!$B$5</x:f>
        <x:v>100</x:v>
      </x:c>
      <x:c r="C6" t="n">
        <x:f>ROUNDUP(B6/Premissas!$B$41,0)</x:f>
        <x:v>2</x:v>
      </x:c>
      <x:c r="D6" t="n">
        <x:f>Premissas!$B$42</x:f>
        <x:v>4000</x:v>
      </x:c>
      <x:c r="E6" t="n">
        <x:f>C6*D6</x:f>
        <x:v>8000</x:v>
      </x:c>
    </x:row>
    <x:row r="7">
      <x:c r="A7" t="str">
        <x:v>Operador (entregas)</x:v>
      </x:c>
      <x:c r="B7" t="n">
        <x:f>Marketing!B11</x:f>
        <x:v>10.5</x:v>
      </x:c>
      <x:c r="C7" t="n">
        <x:f>ROUNDUP(B7/Premissas!$B$34,0)</x:f>
        <x:v>1</x:v>
      </x:c>
      <x:c r="D7" t="n">
        <x:f>Premissas!$B$43</x:f>
        <x:v>2500</x:v>
      </x:c>
      <x:c r="E7" t="n">
        <x:f>C7*D7</x:f>
        <x:v>2500</x:v>
      </x:c>
    </x:row>
    <x:row r="8">
      <x:c r="A8" t="str">
        <x:v>Analista (crédito)</x:v>
      </x:c>
      <x:c r="B8" t="n">
        <x:f>Marketing!B9</x:f>
        <x:v>52.5</x:v>
      </x:c>
      <x:c r="C8" t="n">
        <x:f>ROUNDUP(B8/Premissas!$B$35,0)</x:f>
        <x:v>1</x:v>
      </x:c>
      <x:c r="D8" t="n">
        <x:f>Premissas!$B$44</x:f>
        <x:v>3000</x:v>
      </x:c>
      <x:c r="E8" t="n">
        <x:f>C8*D8</x:f>
        <x:v>3000</x:v>
      </x:c>
    </x:row>
    <x:row r="9">
      <x:c r="A9" t="str">
        <x:v>Gerente Comercial</x:v>
      </x:c>
      <x:c r="B9" t="str">
        <x:v>Fixo</x:v>
      </x:c>
      <x:c r="C9">
        <x:v>1</x:v>
      </x:c>
      <x:c r="D9" t="n">
        <x:f>Premissas!$B$39</x:f>
        <x:v>8000</x:v>
      </x:c>
      <x:c r="E9" t="n">
        <x:f>C9*D9</x:f>
        <x:v>8000</x:v>
      </x:c>
    </x:row>
    <x:row r="10">
      <x:c r="A10" t="str">
        <x:v>Comissões (contratos × comissão)</x:v>
      </x:c>
      <x:c r="B10" t="n">
        <x:f>Marketing!B11</x:f>
        <x:v>10.5</x:v>
      </x:c>
      <x:c r="C10" t="str"/>
      <x:c r="D10" t="n">
        <x:f>Premissas!$B$38</x:f>
        <x:v>200</x:v>
      </x:c>
      <x:c r="E10" t="n">
        <x:f>B10*D10</x:f>
        <x:v>2100</x:v>
      </x:c>
    </x:row>
    <x:row r="11">
      <x:c r="A11" t="str"/>
      <x:c r="B11" t="str"/>
      <x:c r="C11" t="str"/>
      <x:c r="D11" t="str">
        <x:v>TOTAL EQUIPE /mês</x:v>
      </x:c>
      <x:c r="E11" t="n">
        <x:f>SUM(E3:E10)</x:f>
        <x:v>39600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cols>
    <x:col min="1" max="1" width="34.83203125" customWidth="1"/>
    <x:col min="2" max="2" width="66.83203125" customWidth="1"/>
    <x:col min="3" max="3" width="10.83203125" customWidth="1"/>
  </x:cols>
  <x:sheetData>
    <x:row r="1">
      <x:c r="A1" t="str">
        <x:v>CRÉDITO E CONSÓRCIO — RECEITA COMPLEMENTAR</x:v>
      </x:c>
    </x:row>
    <x:row r="2">
      <x:c r="A2" t="str">
        <x:v>Indicador</x:v>
      </x:c>
      <x:c r="B2" t="str">
        <x:v>Valor / Fórmula</x:v>
      </x:c>
      <x:c r="C2" t="str">
        <x:v>Unidade</x:v>
      </x:c>
    </x:row>
    <x:row r="3">
      <x:c r="A3" t="str">
        <x:v>Base de motoristas ativos</x:v>
      </x:c>
      <x:c r="B3" t="n">
        <x:f>Frota!B7</x:f>
        <x:v>84.64</x:v>
      </x:c>
      <x:c r="C3" t="str">
        <x:v>un</x:v>
      </x:c>
    </x:row>
    <x:row r="4">
      <x:c r="A4" t="str">
        <x:v>% interessados em consórcio</x:v>
      </x:c>
      <x:c r="B4" t="n">
        <x:f>Premissas!$B$47</x:f>
        <x:v>0.2</x:v>
      </x:c>
      <x:c r="C4" t="str">
        <x:v>%</x:v>
      </x:c>
    </x:row>
    <x:row r="5">
      <x:c r="A5" t="str">
        <x:v>Interessados</x:v>
      </x:c>
      <x:c r="B5" t="n">
        <x:f>B3*Premissas!$B$47</x:f>
        <x:v>16.928</x:v>
      </x:c>
      <x:c r="C5" t="str">
        <x:v>un</x:v>
      </x:c>
    </x:row>
    <x:row r="6">
      <x:c r="A6" t="str">
        <x:v>Taxa de conversão consórcio</x:v>
      </x:c>
      <x:c r="B6" t="n">
        <x:f>Premissas!$B$48</x:f>
        <x:v>0.15</x:v>
      </x:c>
      <x:c r="C6" t="str">
        <x:v>%</x:v>
      </x:c>
    </x:row>
    <x:row r="7">
      <x:c r="A7" t="str">
        <x:v>Adesões /mês</x:v>
      </x:c>
      <x:c r="B7" t="n">
        <x:f>B5*Premissas!$B$48</x:f>
        <x:v>2.5392</x:v>
      </x:c>
      <x:c r="C7" t="str">
        <x:v>un</x:v>
      </x:c>
    </x:row>
    <x:row r="8">
      <x:c r="A8" t="str">
        <x:v>Comissão média por adesão</x:v>
      </x:c>
      <x:c r="B8" t="n">
        <x:f>Premissas!$B$49</x:f>
        <x:v>1200</x:v>
      </x:c>
      <x:c r="C8" t="str">
        <x:v>R$</x:v>
      </x:c>
    </x:row>
    <x:row r="9">
      <x:c r="A9" t="str">
        <x:v>Receita bruta consórcio /mês</x:v>
      </x:c>
      <x:c r="B9" t="n">
        <x:f>B7*B8</x:f>
        <x:v>3047.04</x:v>
      </x:c>
      <x:c r="C9" t="str">
        <x:v>R$</x:v>
      </x:c>
    </x:row>
    <x:row r="10">
      <x:c r="A10" t="str">
        <x:v>% cancelamento/estorno</x:v>
      </x:c>
      <x:c r="B10" t="n">
        <x:f>Premissas!$B$50</x:f>
        <x:v>0.15</x:v>
      </x:c>
      <x:c r="C10" t="str">
        <x:v>%</x:v>
      </x:c>
    </x:row>
    <x:row r="11">
      <x:c r="A11" t="str">
        <x:v>Provisão de cancelamento /mês</x:v>
      </x:c>
      <x:c r="B11" t="n">
        <x:f>B9*Premissas!$B$50</x:f>
        <x:v>457.056</x:v>
      </x:c>
      <x:c r="C11" t="str">
        <x:v>R$</x:v>
      </x:c>
    </x:row>
    <x:row r="12">
      <x:c r="A12" t="str">
        <x:v>Custo compliance por operação</x:v>
      </x:c>
      <x:c r="B12" t="n">
        <x:f>Premissas!$B$51</x:f>
        <x:v>100</x:v>
      </x:c>
      <x:c r="C12" t="str">
        <x:v>R$</x:v>
      </x:c>
    </x:row>
    <x:row r="13">
      <x:c r="A13" t="str">
        <x:v>Custo compliance total /mês</x:v>
      </x:c>
      <x:c r="B13" t="n">
        <x:f>B7*Premissas!$B$51</x:f>
        <x:v>253.92000000000002</x:v>
      </x:c>
      <x:c r="C13" t="str">
        <x:v>R$</x:v>
      </x:c>
    </x:row>
    <x:row r="14">
      <x:c r="A14" t="str">
        <x:v>Receita líquida consórcio /mês</x:v>
      </x:c>
      <x:c r="B14" t="n">
        <x:f>B9-B11-B13</x:f>
        <x:v>2336.064</x:v>
      </x:c>
      <x:c r="C14" t="str">
        <x:v>R$</x:v>
      </x:c>
    </x:row>
    <x:row r="15">
      <x:c r="A15" t="str">
        <x:v>ALERTA COMPLIANCE 1</x:v>
      </x:c>
      <x:c r="B15" t="str">
        <x:v>Crédito/consórcio: só ofertar via parceiro habilitado (correspondente/administradora autorizada BACEN).</x:v>
      </x:c>
    </x:row>
    <x:row r="16">
      <x:c r="A16" t="str">
        <x:v>ALERTA COMPLIANCE 2</x:v>
      </x:c>
      <x:c r="B16" t="str">
        <x:v>Proibido prometer aprovação, rendimento ou 'contemplação garantida'. Material deve seguir norma do consórcio.</x:v>
      </x:c>
    </x:row>
    <x:row r="17">
      <x:c r="A17" t="str">
        <x:v>ALERTA COMPLIANCE 3</x:v>
      </x:c>
      <x:c r="B17" t="str">
        <x:v>Registrar consentimento LGPD para uso de dados na análise de crédito.</x:v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cols>
    <x:col min="1" max="1" width="40.83203125" customWidth="1"/>
    <x:col min="2" max="2" width="18.83203125" customWidth="1"/>
    <x:col min="3" max="3" width="14.83203125" customWidth="1"/>
  </x:cols>
  <x:sheetData>
    <x:row r="1">
      <x:c r="A1" t="str">
        <x:v>CUSTOS OPERACIONAIS — CONSOLIDADO /mês</x:v>
      </x:c>
    </x:row>
    <x:row r="2">
      <x:c r="A2" t="str">
        <x:v>Bloco</x:v>
      </x:c>
      <x:c r="B2" t="str">
        <x:v>Valor</x:v>
      </x:c>
      <x:c r="C2" t="str">
        <x:v>Origem</x:v>
      </x:c>
    </x:row>
    <x:row r="3">
      <x:c r="A3" t="str">
        <x:v>Custo operacional de frota</x:v>
      </x:c>
      <x:c r="B3" t="n">
        <x:f>Frota!B20</x:f>
        <x:v>329250</x:v>
      </x:c>
      <x:c r="C3" t="str">
        <x:v>Frota</x:v>
      </x:c>
    </x:row>
    <x:row r="4">
      <x:c r="A4" t="str">
        <x:v>Custo total de equipe</x:v>
      </x:c>
      <x:c r="B4" t="n">
        <x:f>Equipe!E12</x:f>
        <x:v>0</x:v>
      </x:c>
      <x:c r="C4" t="str">
        <x:v>Equipe</x:v>
      </x:c>
    </x:row>
    <x:row r="5">
      <x:c r="A5" t="str">
        <x:v>Investimento em marketing</x:v>
      </x:c>
      <x:c r="B5" t="n">
        <x:f>Premissas!$B$25</x:f>
        <x:v>30000</x:v>
      </x:c>
      <x:c r="C5" t="str">
        <x:v>Premissas</x:v>
      </x:c>
    </x:row>
    <x:row r="6">
      <x:c r="A6" t="str">
        <x:v>Despesas administrativas</x:v>
      </x:c>
      <x:c r="B6" t="n">
        <x:f>Premissas!$B$53</x:f>
        <x:v>25000</x:v>
      </x:c>
      <x:c r="C6" t="str">
        <x:v>Premissas</x:v>
      </x:c>
    </x:row>
    <x:row r="7">
      <x:c r="A7" t="str">
        <x:v>Ferramentas/Software</x:v>
      </x:c>
      <x:c r="B7" t="n">
        <x:f>Premissas!$B$54</x:f>
        <x:v>5000</x:v>
      </x:c>
      <x:c r="C7" t="str">
        <x:v>Premissas</x:v>
      </x:c>
    </x:row>
    <x:row r="8">
      <x:c r="A8" t="str">
        <x:v>Perda líquida por inadimplência</x:v>
      </x:c>
      <x:c r="B8" t="n">
        <x:f>Motoristas!B12</x:f>
        <x:v>11553.36</x:v>
      </x:c>
      <x:c r="C8" t="str">
        <x:v>Motoristas</x:v>
      </x:c>
    </x:row>
    <x:row r="9">
      <x:c r="A9" t="str">
        <x:v>Provisões consórcio (cancel.+compliance)</x:v>
      </x:c>
      <x:c r="B9" t="n">
        <x:f>Consorcio!B11+Consorcio!B13</x:f>
        <x:v>710.976</x:v>
      </x:c>
      <x:c r="C9" t="str">
        <x:v>Consorcio</x:v>
      </x:c>
    </x:row>
    <x:row r="10">
      <x:c r="A10" t="str">
        <x:v>CUSTO OPERACIONAL TOTAL /mês</x:v>
      </x:c>
      <x:c r="B10" t="n">
        <x:f>SUM(B3:B9)</x:f>
        <x:v>401514.336</x:v>
      </x:c>
      <x:c r="C10" t="str"/>
    </x:row>
  </x:sheetData>
  <x:mergeCells>
    <x:mergeCell ref="A1:C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cols>
    <x:col min="1" max="1" width="34.83203125" customWidth="1"/>
    <x:col min="2" max="2" width="11.83203125" customWidth="1"/>
    <x:col min="3" max="3" width="11.83203125" customWidth="1"/>
    <x:col min="4" max="4" width="11.83203125" customWidth="1"/>
    <x:col min="5" max="5" width="11.83203125" customWidth="1"/>
    <x:col min="6" max="6" width="11.83203125" customWidth="1"/>
    <x:col min="7" max="7" width="11.83203125" customWidth="1"/>
    <x:col min="8" max="8" width="11.83203125" customWidth="1"/>
    <x:col min="9" max="9" width="11.83203125" customWidth="1"/>
    <x:col min="10" max="10" width="11.83203125" customWidth="1"/>
    <x:col min="11" max="11" width="11.83203125" customWidth="1"/>
    <x:col min="12" max="12" width="11.83203125" customWidth="1"/>
    <x:col min="13" max="13" width="11.83203125" customWidth="1"/>
    <x:col min="14" max="14" width="11.83203125" customWidth="1"/>
    <x:col min="15" max="15" width="11.83203125" customWidth="1"/>
    <x:col min="16" max="16" width="11.83203125" customWidth="1"/>
    <x:col min="17" max="17" width="11.83203125" customWidth="1"/>
    <x:col min="18" max="18" width="11.83203125" customWidth="1"/>
    <x:col min="19" max="19" width="11.83203125" customWidth="1"/>
    <x:col min="20" max="20" width="11.83203125" customWidth="1"/>
    <x:col min="21" max="21" width="11.83203125" customWidth="1"/>
    <x:col min="22" max="22" width="11.83203125" customWidth="1"/>
    <x:col min="23" max="23" width="11.83203125" customWidth="1"/>
    <x:col min="24" max="24" width="11.83203125" customWidth="1"/>
    <x:col min="25" max="25" width="11.83203125" customWidth="1"/>
    <x:col min="26" max="26" width="11.83203125" customWidth="1"/>
    <x:col min="27" max="27" width="11.83203125" customWidth="1"/>
    <x:col min="28" max="28" width="11.83203125" customWidth="1"/>
    <x:col min="29" max="29" width="11.83203125" customWidth="1"/>
    <x:col min="30" max="30" width="11.83203125" customWidth="1"/>
    <x:col min="31" max="31" width="11.83203125" customWidth="1"/>
    <x:col min="32" max="32" width="11.83203125" customWidth="1"/>
    <x:col min="33" max="33" width="11.83203125" customWidth="1"/>
    <x:col min="34" max="34" width="11.83203125" customWidth="1"/>
    <x:col min="35" max="35" width="11.83203125" customWidth="1"/>
    <x:col min="36" max="36" width="11.83203125" customWidth="1"/>
    <x:col min="37" max="37" width="11.83203125" customWidth="1"/>
  </x:cols>
  <x:sheetData>
    <x:row r="1">
      <x:c r="A1" t="str">
        <x:v>DRE MENSAL — 36 MESES (R$)</x:v>
      </x:c>
    </x:row>
    <x:row r="2">
      <x:c r="A2" t="str">
        <x:v>Linha</x:v>
      </x:c>
      <x:c r="B2" t="str">
        <x:v>M1</x:v>
      </x:c>
      <x:c r="C2" t="str">
        <x:v>M2</x:v>
      </x:c>
      <x:c r="D2" t="str">
        <x:v>M3</x:v>
      </x:c>
      <x:c r="E2" t="str">
        <x:v>M4</x:v>
      </x:c>
      <x:c r="F2" t="str">
        <x:v>M5</x:v>
      </x:c>
      <x:c r="G2" t="str">
        <x:v>M6</x:v>
      </x:c>
      <x:c r="H2" t="str">
        <x:v>M7</x:v>
      </x:c>
      <x:c r="I2" t="str">
        <x:v>M8</x:v>
      </x:c>
      <x:c r="J2" t="str">
        <x:v>M9</x:v>
      </x:c>
      <x:c r="K2" t="str">
        <x:v>M10</x:v>
      </x:c>
      <x:c r="L2" t="str">
        <x:v>M11</x:v>
      </x:c>
      <x:c r="M2" t="str">
        <x:v>M12</x:v>
      </x:c>
      <x:c r="N2" t="str">
        <x:v>M13</x:v>
      </x:c>
      <x:c r="O2" t="str">
        <x:v>M14</x:v>
      </x:c>
      <x:c r="P2" t="str">
        <x:v>M15</x:v>
      </x:c>
      <x:c r="Q2" t="str">
        <x:v>M16</x:v>
      </x:c>
      <x:c r="R2" t="str">
        <x:v>M17</x:v>
      </x:c>
      <x:c r="S2" t="str">
        <x:v>M18</x:v>
      </x:c>
      <x:c r="T2" t="str">
        <x:v>M19</x:v>
      </x:c>
      <x:c r="U2" t="str">
        <x:v>M20</x:v>
      </x:c>
      <x:c r="V2" t="str">
        <x:v>M21</x:v>
      </x:c>
      <x:c r="W2" t="str">
        <x:v>M22</x:v>
      </x:c>
      <x:c r="X2" t="str">
        <x:v>M23</x:v>
      </x:c>
      <x:c r="Y2" t="str">
        <x:v>M24</x:v>
      </x:c>
      <x:c r="Z2" t="str">
        <x:v>M25</x:v>
      </x:c>
      <x:c r="AA2" t="str">
        <x:v>M26</x:v>
      </x:c>
      <x:c r="AB2" t="str">
        <x:v>M27</x:v>
      </x:c>
      <x:c r="AC2" t="str">
        <x:v>M28</x:v>
      </x:c>
      <x:c r="AD2" t="str">
        <x:v>M29</x:v>
      </x:c>
      <x:c r="AE2" t="str">
        <x:v>M30</x:v>
      </x:c>
      <x:c r="AF2" t="str">
        <x:v>M31</x:v>
      </x:c>
      <x:c r="AG2" t="str">
        <x:v>M32</x:v>
      </x:c>
      <x:c r="AH2" t="str">
        <x:v>M33</x:v>
      </x:c>
      <x:c r="AI2" t="str">
        <x:v>M34</x:v>
      </x:c>
      <x:c r="AJ2" t="str">
        <x:v>M35</x:v>
      </x:c>
      <x:c r="AK2" t="str">
        <x:v>M36</x:v>
      </x:c>
    </x:row>
    <x:row r="3">
      <x:c r="A3" t="str">
        <x:v>Carros ativos</x:v>
      </x:c>
      <x:c r="B3" t="n">
        <x:f>ROUND(Frota!$B$7*0.15,0)</x:f>
        <x:v>13</x:v>
      </x:c>
      <x:c r="C3" t="n">
        <x:f>ROUND(Frota!$B$7*0.35,0)</x:f>
        <x:v>30</x:v>
      </x:c>
      <x:c r="D3" t="n">
        <x:f>ROUND(Frota!$B$7*0.55,0)</x:f>
        <x:v>47</x:v>
      </x:c>
      <x:c r="E3" t="n">
        <x:f>ROUND(Frota!$B$7*0.72,0)</x:f>
        <x:v>61</x:v>
      </x:c>
      <x:c r="F3" t="n">
        <x:f>ROUND(Frota!$B$7*0.86,0)</x:f>
        <x:v>73</x:v>
      </x:c>
      <x:c r="G3" t="n">
        <x:f>ROUND(Frota!$B$7*1,0)</x:f>
        <x:v>85</x:v>
      </x:c>
      <x:c r="H3" t="n">
        <x:f>ROUND(Frota!$B$7*1,0)</x:f>
        <x:v>85</x:v>
      </x:c>
      <x:c r="I3" t="n">
        <x:f>ROUND(Frota!$B$7*1,0)</x:f>
        <x:v>85</x:v>
      </x:c>
      <x:c r="J3" t="n">
        <x:f>ROUND(Frota!$B$7*1,0)</x:f>
        <x:v>85</x:v>
      </x:c>
      <x:c r="K3" t="n">
        <x:f>ROUND(Frota!$B$7*1,0)</x:f>
        <x:v>85</x:v>
      </x:c>
      <x:c r="L3" t="n">
        <x:f>ROUND(Frota!$B$7*1,0)</x:f>
        <x:v>85</x:v>
      </x:c>
      <x:c r="M3" t="n">
        <x:f>ROUND(Frota!$B$7*1,0)</x:f>
        <x:v>85</x:v>
      </x:c>
      <x:c r="N3" t="n">
        <x:f>ROUND(Frota!$B$7*1,0)</x:f>
        <x:v>85</x:v>
      </x:c>
      <x:c r="O3" t="n">
        <x:f>ROUND(Frota!$B$7*1,0)</x:f>
        <x:v>85</x:v>
      </x:c>
      <x:c r="P3" t="n">
        <x:f>ROUND(Frota!$B$7*1,0)</x:f>
        <x:v>85</x:v>
      </x:c>
      <x:c r="Q3" t="n">
        <x:f>ROUND(Frota!$B$7*1,0)</x:f>
        <x:v>85</x:v>
      </x:c>
      <x:c r="R3" t="n">
        <x:f>ROUND(Frota!$B$7*1,0)</x:f>
        <x:v>85</x:v>
      </x:c>
      <x:c r="S3" t="n">
        <x:f>ROUND(Frota!$B$7*1,0)</x:f>
        <x:v>85</x:v>
      </x:c>
      <x:c r="T3" t="n">
        <x:f>ROUND(Frota!$B$7*1,0)</x:f>
        <x:v>85</x:v>
      </x:c>
      <x:c r="U3" t="n">
        <x:f>ROUND(Frota!$B$7*1,0)</x:f>
        <x:v>85</x:v>
      </x:c>
      <x:c r="V3" t="n">
        <x:f>ROUND(Frota!$B$7*1,0)</x:f>
        <x:v>85</x:v>
      </x:c>
      <x:c r="W3" t="n">
        <x:f>ROUND(Frota!$B$7*1,0)</x:f>
        <x:v>85</x:v>
      </x:c>
      <x:c r="X3" t="n">
        <x:f>ROUND(Frota!$B$7*1,0)</x:f>
        <x:v>85</x:v>
      </x:c>
      <x:c r="Y3" t="n">
        <x:f>ROUND(Frota!$B$7*1,0)</x:f>
        <x:v>85</x:v>
      </x:c>
      <x:c r="Z3" t="n">
        <x:f>ROUND(Frota!$B$7*1,0)</x:f>
        <x:v>85</x:v>
      </x:c>
      <x:c r="AA3" t="n">
        <x:f>ROUND(Frota!$B$7*1,0)</x:f>
        <x:v>85</x:v>
      </x:c>
      <x:c r="AB3" t="n">
        <x:f>ROUND(Frota!$B$7*1,0)</x:f>
        <x:v>85</x:v>
      </x:c>
      <x:c r="AC3" t="n">
        <x:f>ROUND(Frota!$B$7*1,0)</x:f>
        <x:v>85</x:v>
      </x:c>
      <x:c r="AD3" t="n">
        <x:f>ROUND(Frota!$B$7*1,0)</x:f>
        <x:v>85</x:v>
      </x:c>
      <x:c r="AE3" t="n">
        <x:f>ROUND(Frota!$B$7*1,0)</x:f>
        <x:v>85</x:v>
      </x:c>
      <x:c r="AF3" t="n">
        <x:f>ROUND(Frota!$B$7*1,0)</x:f>
        <x:v>85</x:v>
      </x:c>
      <x:c r="AG3" t="n">
        <x:f>ROUND(Frota!$B$7*1,0)</x:f>
        <x:v>85</x:v>
      </x:c>
      <x:c r="AH3" t="n">
        <x:f>ROUND(Frota!$B$7*1,0)</x:f>
        <x:v>85</x:v>
      </x:c>
      <x:c r="AI3" t="n">
        <x:f>ROUND(Frota!$B$7*1,0)</x:f>
        <x:v>85</x:v>
      </x:c>
      <x:c r="AJ3" t="n">
        <x:f>ROUND(Frota!$B$7*1,0)</x:f>
        <x:v>85</x:v>
      </x:c>
      <x:c r="AK3" t="n">
        <x:f>ROUND(Frota!$B$7*1,0)</x:f>
        <x:v>85</x:v>
      </x:c>
    </x:row>
    <x:row r="4">
      <x:c r="A4" t="str">
        <x:v>Receita bruta locação</x:v>
      </x:c>
      <x:c r="B4" t="n">
        <x:f>B3*Premissas!$B$17</x:f>
        <x:v>50700</x:v>
      </x:c>
      <x:c r="C4" t="n">
        <x:f>C3*Premissas!$B$17</x:f>
        <x:v>117000</x:v>
      </x:c>
      <x:c r="D4" t="n">
        <x:f>D3*Premissas!$B$17</x:f>
        <x:v>183300</x:v>
      </x:c>
      <x:c r="E4" t="n">
        <x:f>E3*Premissas!$B$17</x:f>
        <x:v>237900</x:v>
      </x:c>
      <x:c r="F4" t="n">
        <x:f>F3*Premissas!$B$17</x:f>
        <x:v>284700</x:v>
      </x:c>
      <x:c r="G4" t="n">
        <x:f>G3*Premissas!$B$17</x:f>
        <x:v>331500</x:v>
      </x:c>
      <x:c r="H4" t="n">
        <x:f>H3*Premissas!$B$17</x:f>
        <x:v>331500</x:v>
      </x:c>
      <x:c r="I4" t="n">
        <x:f>I3*Premissas!$B$17</x:f>
        <x:v>331500</x:v>
      </x:c>
      <x:c r="J4" t="n">
        <x:f>J3*Premissas!$B$17</x:f>
        <x:v>331500</x:v>
      </x:c>
      <x:c r="K4" t="n">
        <x:f>K3*Premissas!$B$17</x:f>
        <x:v>331500</x:v>
      </x:c>
      <x:c r="L4" t="n">
        <x:f>L3*Premissas!$B$17</x:f>
        <x:v>331500</x:v>
      </x:c>
      <x:c r="M4" t="n">
        <x:f>M3*Premissas!$B$17</x:f>
        <x:v>331500</x:v>
      </x:c>
      <x:c r="N4" t="n">
        <x:f>N3*Premissas!$B$17</x:f>
        <x:v>331500</x:v>
      </x:c>
      <x:c r="O4" t="n">
        <x:f>O3*Premissas!$B$17</x:f>
        <x:v>331500</x:v>
      </x:c>
      <x:c r="P4" t="n">
        <x:f>P3*Premissas!$B$17</x:f>
        <x:v>331500</x:v>
      </x:c>
      <x:c r="Q4" t="n">
        <x:f>Q3*Premissas!$B$17</x:f>
        <x:v>331500</x:v>
      </x:c>
      <x:c r="R4" t="n">
        <x:f>R3*Premissas!$B$17</x:f>
        <x:v>331500</x:v>
      </x:c>
      <x:c r="S4" t="n">
        <x:f>S3*Premissas!$B$17</x:f>
        <x:v>331500</x:v>
      </x:c>
      <x:c r="T4" t="n">
        <x:f>T3*Premissas!$B$17</x:f>
        <x:v>331500</x:v>
      </x:c>
      <x:c r="U4" t="n">
        <x:f>U3*Premissas!$B$17</x:f>
        <x:v>331500</x:v>
      </x:c>
      <x:c r="V4" t="n">
        <x:f>V3*Premissas!$B$17</x:f>
        <x:v>331500</x:v>
      </x:c>
      <x:c r="W4" t="n">
        <x:f>W3*Premissas!$B$17</x:f>
        <x:v>331500</x:v>
      </x:c>
      <x:c r="X4" t="n">
        <x:f>X3*Premissas!$B$17</x:f>
        <x:v>331500</x:v>
      </x:c>
      <x:c r="Y4" t="n">
        <x:f>Y3*Premissas!$B$17</x:f>
        <x:v>331500</x:v>
      </x:c>
      <x:c r="Z4" t="n">
        <x:f>Z3*Premissas!$B$17</x:f>
        <x:v>331500</x:v>
      </x:c>
      <x:c r="AA4" t="n">
        <x:f>AA3*Premissas!$B$17</x:f>
        <x:v>331500</x:v>
      </x:c>
      <x:c r="AB4" t="n">
        <x:f>AB3*Premissas!$B$17</x:f>
        <x:v>331500</x:v>
      </x:c>
      <x:c r="AC4" t="n">
        <x:f>AC3*Premissas!$B$17</x:f>
        <x:v>331500</x:v>
      </x:c>
      <x:c r="AD4" t="n">
        <x:f>AD3*Premissas!$B$17</x:f>
        <x:v>331500</x:v>
      </x:c>
      <x:c r="AE4" t="n">
        <x:f>AE3*Premissas!$B$17</x:f>
        <x:v>331500</x:v>
      </x:c>
      <x:c r="AF4" t="n">
        <x:f>AF3*Premissas!$B$17</x:f>
        <x:v>331500</x:v>
      </x:c>
      <x:c r="AG4" t="n">
        <x:f>AG3*Premissas!$B$17</x:f>
        <x:v>331500</x:v>
      </x:c>
      <x:c r="AH4" t="n">
        <x:f>AH3*Premissas!$B$17</x:f>
        <x:v>331500</x:v>
      </x:c>
      <x:c r="AI4" t="n">
        <x:f>AI3*Premissas!$B$17</x:f>
        <x:v>331500</x:v>
      </x:c>
      <x:c r="AJ4" t="n">
        <x:f>AJ3*Premissas!$B$17</x:f>
        <x:v>331500</x:v>
      </x:c>
      <x:c r="AK4" t="n">
        <x:f>AK3*Premissas!$B$17</x:f>
        <x:v>331500</x:v>
      </x:c>
    </x:row>
    <x:row r="5">
      <x:c r="A5" t="str">
        <x:v>Receita ativação (setup)</x:v>
      </x:c>
      <x:c r="B5" t="n">
        <x:f>Marketing!$B$11*Premissas!$B$18</x:f>
        <x:v>3150</x:v>
      </x:c>
      <x:c r="C5" t="n">
        <x:f>Marketing!$B$11*Premissas!$B$18</x:f>
        <x:v>3150</x:v>
      </x:c>
      <x:c r="D5" t="n">
        <x:f>Marketing!$B$11*Premissas!$B$18</x:f>
        <x:v>3150</x:v>
      </x:c>
      <x:c r="E5" t="n">
        <x:f>Marketing!$B$11*Premissas!$B$18</x:f>
        <x:v>3150</x:v>
      </x:c>
      <x:c r="F5" t="n">
        <x:f>Marketing!$B$11*Premissas!$B$18</x:f>
        <x:v>3150</x:v>
      </x:c>
      <x:c r="G5" t="n">
        <x:f>Marketing!$B$11*Premissas!$B$18</x:f>
        <x:v>3150</x:v>
      </x:c>
      <x:c r="H5" t="n">
        <x:f>Marketing!$B$11*Premissas!$B$18</x:f>
        <x:v>3150</x:v>
      </x:c>
      <x:c r="I5" t="n">
        <x:f>Marketing!$B$11*Premissas!$B$18</x:f>
        <x:v>3150</x:v>
      </x:c>
      <x:c r="J5" t="n">
        <x:f>Marketing!$B$11*Premissas!$B$18</x:f>
        <x:v>3150</x:v>
      </x:c>
      <x:c r="K5" t="n">
        <x:f>Marketing!$B$11*Premissas!$B$18</x:f>
        <x:v>3150</x:v>
      </x:c>
      <x:c r="L5" t="n">
        <x:f>Marketing!$B$11*Premissas!$B$18</x:f>
        <x:v>3150</x:v>
      </x:c>
      <x:c r="M5" t="n">
        <x:f>Marketing!$B$11*Premissas!$B$18</x:f>
        <x:v>3150</x:v>
      </x:c>
      <x:c r="N5" t="n">
        <x:f>Marketing!$B$11*Premissas!$B$18</x:f>
        <x:v>3150</x:v>
      </x:c>
      <x:c r="O5" t="n">
        <x:f>Marketing!$B$11*Premissas!$B$18</x:f>
        <x:v>3150</x:v>
      </x:c>
      <x:c r="P5" t="n">
        <x:f>Marketing!$B$11*Premissas!$B$18</x:f>
        <x:v>3150</x:v>
      </x:c>
      <x:c r="Q5" t="n">
        <x:f>Marketing!$B$11*Premissas!$B$18</x:f>
        <x:v>3150</x:v>
      </x:c>
      <x:c r="R5" t="n">
        <x:f>Marketing!$B$11*Premissas!$B$18</x:f>
        <x:v>3150</x:v>
      </x:c>
      <x:c r="S5" t="n">
        <x:f>Marketing!$B$11*Premissas!$B$18</x:f>
        <x:v>3150</x:v>
      </x:c>
      <x:c r="T5" t="n">
        <x:f>Marketing!$B$11*Premissas!$B$18</x:f>
        <x:v>3150</x:v>
      </x:c>
      <x:c r="U5" t="n">
        <x:f>Marketing!$B$11*Premissas!$B$18</x:f>
        <x:v>3150</x:v>
      </x:c>
      <x:c r="V5" t="n">
        <x:f>Marketing!$B$11*Premissas!$B$18</x:f>
        <x:v>3150</x:v>
      </x:c>
      <x:c r="W5" t="n">
        <x:f>Marketing!$B$11*Premissas!$B$18</x:f>
        <x:v>3150</x:v>
      </x:c>
      <x:c r="X5" t="n">
        <x:f>Marketing!$B$11*Premissas!$B$18</x:f>
        <x:v>3150</x:v>
      </x:c>
      <x:c r="Y5" t="n">
        <x:f>Marketing!$B$11*Premissas!$B$18</x:f>
        <x:v>3150</x:v>
      </x:c>
      <x:c r="Z5" t="n">
        <x:f>Marketing!$B$11*Premissas!$B$18</x:f>
        <x:v>3150</x:v>
      </x:c>
      <x:c r="AA5" t="n">
        <x:f>Marketing!$B$11*Premissas!$B$18</x:f>
        <x:v>3150</x:v>
      </x:c>
      <x:c r="AB5" t="n">
        <x:f>Marketing!$B$11*Premissas!$B$18</x:f>
        <x:v>3150</x:v>
      </x:c>
      <x:c r="AC5" t="n">
        <x:f>Marketing!$B$11*Premissas!$B$18</x:f>
        <x:v>3150</x:v>
      </x:c>
      <x:c r="AD5" t="n">
        <x:f>Marketing!$B$11*Premissas!$B$18</x:f>
        <x:v>3150</x:v>
      </x:c>
      <x:c r="AE5" t="n">
        <x:f>Marketing!$B$11*Premissas!$B$18</x:f>
        <x:v>3150</x:v>
      </x:c>
      <x:c r="AF5" t="n">
        <x:f>Marketing!$B$11*Premissas!$B$18</x:f>
        <x:v>3150</x:v>
      </x:c>
      <x:c r="AG5" t="n">
        <x:f>Marketing!$B$11*Premissas!$B$18</x:f>
        <x:v>3150</x:v>
      </x:c>
      <x:c r="AH5" t="n">
        <x:f>Marketing!$B$11*Premissas!$B$18</x:f>
        <x:v>3150</x:v>
      </x:c>
      <x:c r="AI5" t="n">
        <x:f>Marketing!$B$11*Premissas!$B$18</x:f>
        <x:v>3150</x:v>
      </x:c>
      <x:c r="AJ5" t="n">
        <x:f>Marketing!$B$11*Premissas!$B$18</x:f>
        <x:v>3150</x:v>
      </x:c>
      <x:c r="AK5" t="n">
        <x:f>Marketing!$B$11*Premissas!$B$18</x:f>
        <x:v>3150</x:v>
      </x:c>
    </x:row>
    <x:row r="6">
      <x:c r="A6" t="str">
        <x:v>Receita líq. consórcio</x:v>
      </x:c>
      <x:c r="B6" t="n">
        <x:f>Consorcio!$B$14</x:f>
        <x:v>2336.064</x:v>
      </x:c>
      <x:c r="C6" t="n">
        <x:f>Consorcio!$B$14</x:f>
        <x:v>2336.064</x:v>
      </x:c>
      <x:c r="D6" t="n">
        <x:f>Consorcio!$B$14</x:f>
        <x:v>2336.064</x:v>
      </x:c>
      <x:c r="E6" t="n">
        <x:f>Consorcio!$B$14</x:f>
        <x:v>2336.064</x:v>
      </x:c>
      <x:c r="F6" t="n">
        <x:f>Consorcio!$B$14</x:f>
        <x:v>2336.064</x:v>
      </x:c>
      <x:c r="G6" t="n">
        <x:f>Consorcio!$B$14</x:f>
        <x:v>2336.064</x:v>
      </x:c>
      <x:c r="H6" t="n">
        <x:f>Consorcio!$B$14</x:f>
        <x:v>2336.064</x:v>
      </x:c>
      <x:c r="I6" t="n">
        <x:f>Consorcio!$B$14</x:f>
        <x:v>2336.064</x:v>
      </x:c>
      <x:c r="J6" t="n">
        <x:f>Consorcio!$B$14</x:f>
        <x:v>2336.064</x:v>
      </x:c>
      <x:c r="K6" t="n">
        <x:f>Consorcio!$B$14</x:f>
        <x:v>2336.064</x:v>
      </x:c>
      <x:c r="L6" t="n">
        <x:f>Consorcio!$B$14</x:f>
        <x:v>2336.064</x:v>
      </x:c>
      <x:c r="M6" t="n">
        <x:f>Consorcio!$B$14</x:f>
        <x:v>2336.064</x:v>
      </x:c>
      <x:c r="N6" t="n">
        <x:f>Consorcio!$B$14</x:f>
        <x:v>2336.064</x:v>
      </x:c>
      <x:c r="O6" t="n">
        <x:f>Consorcio!$B$14</x:f>
        <x:v>2336.064</x:v>
      </x:c>
      <x:c r="P6" t="n">
        <x:f>Consorcio!$B$14</x:f>
        <x:v>2336.064</x:v>
      </x:c>
      <x:c r="Q6" t="n">
        <x:f>Consorcio!$B$14</x:f>
        <x:v>2336.064</x:v>
      </x:c>
      <x:c r="R6" t="n">
        <x:f>Consorcio!$B$14</x:f>
        <x:v>2336.064</x:v>
      </x:c>
      <x:c r="S6" t="n">
        <x:f>Consorcio!$B$14</x:f>
        <x:v>2336.064</x:v>
      </x:c>
      <x:c r="T6" t="n">
        <x:f>Consorcio!$B$14</x:f>
        <x:v>2336.064</x:v>
      </x:c>
      <x:c r="U6" t="n">
        <x:f>Consorcio!$B$14</x:f>
        <x:v>2336.064</x:v>
      </x:c>
      <x:c r="V6" t="n">
        <x:f>Consorcio!$B$14</x:f>
        <x:v>2336.064</x:v>
      </x:c>
      <x:c r="W6" t="n">
        <x:f>Consorcio!$B$14</x:f>
        <x:v>2336.064</x:v>
      </x:c>
      <x:c r="X6" t="n">
        <x:f>Consorcio!$B$14</x:f>
        <x:v>2336.064</x:v>
      </x:c>
      <x:c r="Y6" t="n">
        <x:f>Consorcio!$B$14</x:f>
        <x:v>2336.064</x:v>
      </x:c>
      <x:c r="Z6" t="n">
        <x:f>Consorcio!$B$14</x:f>
        <x:v>2336.064</x:v>
      </x:c>
      <x:c r="AA6" t="n">
        <x:f>Consorcio!$B$14</x:f>
        <x:v>2336.064</x:v>
      </x:c>
      <x:c r="AB6" t="n">
        <x:f>Consorcio!$B$14</x:f>
        <x:v>2336.064</x:v>
      </x:c>
      <x:c r="AC6" t="n">
        <x:f>Consorcio!$B$14</x:f>
        <x:v>2336.064</x:v>
      </x:c>
      <x:c r="AD6" t="n">
        <x:f>Consorcio!$B$14</x:f>
        <x:v>2336.064</x:v>
      </x:c>
      <x:c r="AE6" t="n">
        <x:f>Consorcio!$B$14</x:f>
        <x:v>2336.064</x:v>
      </x:c>
      <x:c r="AF6" t="n">
        <x:f>Consorcio!$B$14</x:f>
        <x:v>2336.064</x:v>
      </x:c>
      <x:c r="AG6" t="n">
        <x:f>Consorcio!$B$14</x:f>
        <x:v>2336.064</x:v>
      </x:c>
      <x:c r="AH6" t="n">
        <x:f>Consorcio!$B$14</x:f>
        <x:v>2336.064</x:v>
      </x:c>
      <x:c r="AI6" t="n">
        <x:f>Consorcio!$B$14</x:f>
        <x:v>2336.064</x:v>
      </x:c>
      <x:c r="AJ6" t="n">
        <x:f>Consorcio!$B$14</x:f>
        <x:v>2336.064</x:v>
      </x:c>
      <x:c r="AK6" t="n">
        <x:f>Consorcio!$B$14</x:f>
        <x:v>2336.064</x:v>
      </x:c>
    </x:row>
    <x:row r="7">
      <x:c r="A7" t="str">
        <x:v>(=) RECEITA BRUTA</x:v>
      </x:c>
      <x:c r="B7" t="n">
        <x:f>B4+B5+B6</x:f>
        <x:v>56186.064</x:v>
      </x:c>
      <x:c r="C7" t="n">
        <x:f>C4+C5+C6</x:f>
        <x:v>122486.064</x:v>
      </x:c>
      <x:c r="D7" t="n">
        <x:f>D4+D5+D6</x:f>
        <x:v>188786.064</x:v>
      </x:c>
      <x:c r="E7" t="n">
        <x:f>E4+E5+E6</x:f>
        <x:v>243386.064</x:v>
      </x:c>
      <x:c r="F7" t="n">
        <x:f>F4+F5+F6</x:f>
        <x:v>290186.064</x:v>
      </x:c>
      <x:c r="G7" t="n">
        <x:f>G4+G5+G6</x:f>
        <x:v>336986.064</x:v>
      </x:c>
      <x:c r="H7" t="n">
        <x:f>H4+H5+H6</x:f>
        <x:v>336986.064</x:v>
      </x:c>
      <x:c r="I7" t="n">
        <x:f>I4+I5+I6</x:f>
        <x:v>336986.064</x:v>
      </x:c>
      <x:c r="J7" t="n">
        <x:f>J4+J5+J6</x:f>
        <x:v>336986.064</x:v>
      </x:c>
      <x:c r="K7" t="n">
        <x:f>K4+K5+K6</x:f>
        <x:v>336986.064</x:v>
      </x:c>
      <x:c r="L7" t="n">
        <x:f>L4+L5+L6</x:f>
        <x:v>336986.064</x:v>
      </x:c>
      <x:c r="M7" t="n">
        <x:f>M4+M5+M6</x:f>
        <x:v>336986.064</x:v>
      </x:c>
      <x:c r="N7" t="n">
        <x:f>N4+N5+N6</x:f>
        <x:v>336986.064</x:v>
      </x:c>
      <x:c r="O7" t="n">
        <x:f>O4+O5+O6</x:f>
        <x:v>336986.064</x:v>
      </x:c>
      <x:c r="P7" t="n">
        <x:f>P4+P5+P6</x:f>
        <x:v>336986.064</x:v>
      </x:c>
      <x:c r="Q7" t="n">
        <x:f>Q4+Q5+Q6</x:f>
        <x:v>336986.064</x:v>
      </x:c>
      <x:c r="R7" t="n">
        <x:f>R4+R5+R6</x:f>
        <x:v>336986.064</x:v>
      </x:c>
      <x:c r="S7" t="n">
        <x:f>S4+S5+S6</x:f>
        <x:v>336986.064</x:v>
      </x:c>
      <x:c r="T7" t="n">
        <x:f>T4+T5+T6</x:f>
        <x:v>336986.064</x:v>
      </x:c>
      <x:c r="U7" t="n">
        <x:f>U4+U5+U6</x:f>
        <x:v>336986.064</x:v>
      </x:c>
      <x:c r="V7" t="n">
        <x:f>V4+V5+V6</x:f>
        <x:v>336986.064</x:v>
      </x:c>
      <x:c r="W7" t="n">
        <x:f>W4+W5+W6</x:f>
        <x:v>336986.064</x:v>
      </x:c>
      <x:c r="X7" t="n">
        <x:f>X4+X5+X6</x:f>
        <x:v>336986.064</x:v>
      </x:c>
      <x:c r="Y7" t="n">
        <x:f>Y4+Y5+Y6</x:f>
        <x:v>336986.064</x:v>
      </x:c>
      <x:c r="Z7" t="n">
        <x:f>Z4+Z5+Z6</x:f>
        <x:v>336986.064</x:v>
      </x:c>
      <x:c r="AA7" t="n">
        <x:f>AA4+AA5+AA6</x:f>
        <x:v>336986.064</x:v>
      </x:c>
      <x:c r="AB7" t="n">
        <x:f>AB4+AB5+AB6</x:f>
        <x:v>336986.064</x:v>
      </x:c>
      <x:c r="AC7" t="n">
        <x:f>AC4+AC5+AC6</x:f>
        <x:v>336986.064</x:v>
      </x:c>
      <x:c r="AD7" t="n">
        <x:f>AD4+AD5+AD6</x:f>
        <x:v>336986.064</x:v>
      </x:c>
      <x:c r="AE7" t="n">
        <x:f>AE4+AE5+AE6</x:f>
        <x:v>336986.064</x:v>
      </x:c>
      <x:c r="AF7" t="n">
        <x:f>AF4+AF5+AF6</x:f>
        <x:v>336986.064</x:v>
      </x:c>
      <x:c r="AG7" t="n">
        <x:f>AG4+AG5+AG6</x:f>
        <x:v>336986.064</x:v>
      </x:c>
      <x:c r="AH7" t="n">
        <x:f>AH4+AH5+AH6</x:f>
        <x:v>336986.064</x:v>
      </x:c>
      <x:c r="AI7" t="n">
        <x:f>AI4+AI5+AI6</x:f>
        <x:v>336986.064</x:v>
      </x:c>
      <x:c r="AJ7" t="n">
        <x:f>AJ4+AJ5+AJ6</x:f>
        <x:v>336986.064</x:v>
      </x:c>
      <x:c r="AK7" t="n">
        <x:f>AK4+AK5+AK6</x:f>
        <x:v>336986.064</x:v>
      </x:c>
    </x:row>
    <x:row r="8">
      <x:c r="A8" t="str">
        <x:v>(-) Impostos s/ receita</x:v>
      </x:c>
      <x:c r="B8" t="n">
        <x:f>-B7*Premissas!$B$52</x:f>
        <x:v>-8427.909599999999</x:v>
      </x:c>
      <x:c r="C8" t="n">
        <x:f>-C7*Premissas!$B$52</x:f>
        <x:v>-18372.9096</x:v>
      </x:c>
      <x:c r="D8" t="n">
        <x:f>-D7*Premissas!$B$52</x:f>
        <x:v>-28317.909600000003</x:v>
      </x:c>
      <x:c r="E8" t="n">
        <x:f>-E7*Premissas!$B$52</x:f>
        <x:v>-36507.9096</x:v>
      </x:c>
      <x:c r="F8" t="n">
        <x:f>-F7*Premissas!$B$52</x:f>
        <x:v>-43527.9096</x:v>
      </x:c>
      <x:c r="G8" t="n">
        <x:f>-G7*Premissas!$B$52</x:f>
        <x:v>-50547.9096</x:v>
      </x:c>
      <x:c r="H8" t="n">
        <x:f>-H7*Premissas!$B$52</x:f>
        <x:v>-50547.9096</x:v>
      </x:c>
      <x:c r="I8" t="n">
        <x:f>-I7*Premissas!$B$52</x:f>
        <x:v>-50547.9096</x:v>
      </x:c>
      <x:c r="J8" t="n">
        <x:f>-J7*Premissas!$B$52</x:f>
        <x:v>-50547.9096</x:v>
      </x:c>
      <x:c r="K8" t="n">
        <x:f>-K7*Premissas!$B$52</x:f>
        <x:v>-50547.9096</x:v>
      </x:c>
      <x:c r="L8" t="n">
        <x:f>-L7*Premissas!$B$52</x:f>
        <x:v>-50547.9096</x:v>
      </x:c>
      <x:c r="M8" t="n">
        <x:f>-M7*Premissas!$B$52</x:f>
        <x:v>-50547.9096</x:v>
      </x:c>
      <x:c r="N8" t="n">
        <x:f>-N7*Premissas!$B$52</x:f>
        <x:v>-50547.9096</x:v>
      </x:c>
      <x:c r="O8" t="n">
        <x:f>-O7*Premissas!$B$52</x:f>
        <x:v>-50547.9096</x:v>
      </x:c>
      <x:c r="P8" t="n">
        <x:f>-P7*Premissas!$B$52</x:f>
        <x:v>-50547.9096</x:v>
      </x:c>
      <x:c r="Q8" t="n">
        <x:f>-Q7*Premissas!$B$52</x:f>
        <x:v>-50547.9096</x:v>
      </x:c>
      <x:c r="R8" t="n">
        <x:f>-R7*Premissas!$B$52</x:f>
        <x:v>-50547.9096</x:v>
      </x:c>
      <x:c r="S8" t="n">
        <x:f>-S7*Premissas!$B$52</x:f>
        <x:v>-50547.9096</x:v>
      </x:c>
      <x:c r="T8" t="n">
        <x:f>-T7*Premissas!$B$52</x:f>
        <x:v>-50547.9096</x:v>
      </x:c>
      <x:c r="U8" t="n">
        <x:f>-U7*Premissas!$B$52</x:f>
        <x:v>-50547.9096</x:v>
      </x:c>
      <x:c r="V8" t="n">
        <x:f>-V7*Premissas!$B$52</x:f>
        <x:v>-50547.9096</x:v>
      </x:c>
      <x:c r="W8" t="n">
        <x:f>-W7*Premissas!$B$52</x:f>
        <x:v>-50547.9096</x:v>
      </x:c>
      <x:c r="X8" t="n">
        <x:f>-X7*Premissas!$B$52</x:f>
        <x:v>-50547.9096</x:v>
      </x:c>
      <x:c r="Y8" t="n">
        <x:f>-Y7*Premissas!$B$52</x:f>
        <x:v>-50547.9096</x:v>
      </x:c>
      <x:c r="Z8" t="n">
        <x:f>-Z7*Premissas!$B$52</x:f>
        <x:v>-50547.9096</x:v>
      </x:c>
      <x:c r="AA8" t="n">
        <x:f>-AA7*Premissas!$B$52</x:f>
        <x:v>-50547.9096</x:v>
      </x:c>
      <x:c r="AB8" t="n">
        <x:f>-AB7*Premissas!$B$52</x:f>
        <x:v>-50547.9096</x:v>
      </x:c>
      <x:c r="AC8" t="n">
        <x:f>-AC7*Premissas!$B$52</x:f>
        <x:v>-50547.9096</x:v>
      </x:c>
      <x:c r="AD8" t="n">
        <x:f>-AD7*Premissas!$B$52</x:f>
        <x:v>-50547.9096</x:v>
      </x:c>
      <x:c r="AE8" t="n">
        <x:f>-AE7*Premissas!$B$52</x:f>
        <x:v>-50547.9096</x:v>
      </x:c>
      <x:c r="AF8" t="n">
        <x:f>-AF7*Premissas!$B$52</x:f>
        <x:v>-50547.9096</x:v>
      </x:c>
      <x:c r="AG8" t="n">
        <x:f>-AG7*Premissas!$B$52</x:f>
        <x:v>-50547.9096</x:v>
      </x:c>
      <x:c r="AH8" t="n">
        <x:f>-AH7*Premissas!$B$52</x:f>
        <x:v>-50547.9096</x:v>
      </x:c>
      <x:c r="AI8" t="n">
        <x:f>-AI7*Premissas!$B$52</x:f>
        <x:v>-50547.9096</x:v>
      </x:c>
      <x:c r="AJ8" t="n">
        <x:f>-AJ7*Premissas!$B$52</x:f>
        <x:v>-50547.9096</x:v>
      </x:c>
      <x:c r="AK8" t="n">
        <x:f>-AK7*Premissas!$B$52</x:f>
        <x:v>-50547.9096</x:v>
      </x:c>
    </x:row>
    <x:row r="9">
      <x:c r="A9" t="str">
        <x:v>(=) RECEITA LÍQUIDA</x:v>
      </x:c>
      <x:c r="B9" t="n">
        <x:f>B7+B8</x:f>
        <x:v>47758.1544</x:v>
      </x:c>
      <x:c r="C9" t="n">
        <x:f>C7+C8</x:f>
        <x:v>104113.1544</x:v>
      </x:c>
      <x:c r="D9" t="n">
        <x:f>D7+D8</x:f>
        <x:v>160468.1544</x:v>
      </x:c>
      <x:c r="E9" t="n">
        <x:f>E7+E8</x:f>
        <x:v>206878.1544</x:v>
      </x:c>
      <x:c r="F9" t="n">
        <x:f>F7+F8</x:f>
        <x:v>246658.1544</x:v>
      </x:c>
      <x:c r="G9" t="n">
        <x:f>G7+G8</x:f>
        <x:v>286438.1544</x:v>
      </x:c>
      <x:c r="H9" t="n">
        <x:f>H7+H8</x:f>
        <x:v>286438.1544</x:v>
      </x:c>
      <x:c r="I9" t="n">
        <x:f>I7+I8</x:f>
        <x:v>286438.1544</x:v>
      </x:c>
      <x:c r="J9" t="n">
        <x:f>J7+J8</x:f>
        <x:v>286438.1544</x:v>
      </x:c>
      <x:c r="K9" t="n">
        <x:f>K7+K8</x:f>
        <x:v>286438.1544</x:v>
      </x:c>
      <x:c r="L9" t="n">
        <x:f>L7+L8</x:f>
        <x:v>286438.1544</x:v>
      </x:c>
      <x:c r="M9" t="n">
        <x:f>M7+M8</x:f>
        <x:v>286438.1544</x:v>
      </x:c>
      <x:c r="N9" t="n">
        <x:f>N7+N8</x:f>
        <x:v>286438.1544</x:v>
      </x:c>
      <x:c r="O9" t="n">
        <x:f>O7+O8</x:f>
        <x:v>286438.1544</x:v>
      </x:c>
      <x:c r="P9" t="n">
        <x:f>P7+P8</x:f>
        <x:v>286438.1544</x:v>
      </x:c>
      <x:c r="Q9" t="n">
        <x:f>Q7+Q8</x:f>
        <x:v>286438.1544</x:v>
      </x:c>
      <x:c r="R9" t="n">
        <x:f>R7+R8</x:f>
        <x:v>286438.1544</x:v>
      </x:c>
      <x:c r="S9" t="n">
        <x:f>S7+S8</x:f>
        <x:v>286438.1544</x:v>
      </x:c>
      <x:c r="T9" t="n">
        <x:f>T7+T8</x:f>
        <x:v>286438.1544</x:v>
      </x:c>
      <x:c r="U9" t="n">
        <x:f>U7+U8</x:f>
        <x:v>286438.1544</x:v>
      </x:c>
      <x:c r="V9" t="n">
        <x:f>V7+V8</x:f>
        <x:v>286438.1544</x:v>
      </x:c>
      <x:c r="W9" t="n">
        <x:f>W7+W8</x:f>
        <x:v>286438.1544</x:v>
      </x:c>
      <x:c r="X9" t="n">
        <x:f>X7+X8</x:f>
        <x:v>286438.1544</x:v>
      </x:c>
      <x:c r="Y9" t="n">
        <x:f>Y7+Y8</x:f>
        <x:v>286438.1544</x:v>
      </x:c>
      <x:c r="Z9" t="n">
        <x:f>Z7+Z8</x:f>
        <x:v>286438.1544</x:v>
      </x:c>
      <x:c r="AA9" t="n">
        <x:f>AA7+AA8</x:f>
        <x:v>286438.1544</x:v>
      </x:c>
      <x:c r="AB9" t="n">
        <x:f>AB7+AB8</x:f>
        <x:v>286438.1544</x:v>
      </x:c>
      <x:c r="AC9" t="n">
        <x:f>AC7+AC8</x:f>
        <x:v>286438.1544</x:v>
      </x:c>
      <x:c r="AD9" t="n">
        <x:f>AD7+AD8</x:f>
        <x:v>286438.1544</x:v>
      </x:c>
      <x:c r="AE9" t="n">
        <x:f>AE7+AE8</x:f>
        <x:v>286438.1544</x:v>
      </x:c>
      <x:c r="AF9" t="n">
        <x:f>AF7+AF8</x:f>
        <x:v>286438.1544</x:v>
      </x:c>
      <x:c r="AG9" t="n">
        <x:f>AG7+AG8</x:f>
        <x:v>286438.1544</x:v>
      </x:c>
      <x:c r="AH9" t="n">
        <x:f>AH7+AH8</x:f>
        <x:v>286438.1544</x:v>
      </x:c>
      <x:c r="AI9" t="n">
        <x:f>AI7+AI8</x:f>
        <x:v>286438.1544</x:v>
      </x:c>
      <x:c r="AJ9" t="n">
        <x:f>AJ7+AJ8</x:f>
        <x:v>286438.1544</x:v>
      </x:c>
      <x:c r="AK9" t="n">
        <x:f>AK7+AK8</x:f>
        <x:v>286438.1544</x:v>
      </x:c>
    </x:row>
    <x:row r="10">
      <x:c r="A10" t="str">
        <x:v>(-) Custo frota</x:v>
      </x:c>
      <x:c r="B10" t="n">
        <x:f>-(B3*Frota!$B$15+B3*Premissas!$B$14*Premissas!$B$15)</x:f>
        <x:v>-42802.5</x:v>
      </x:c>
      <x:c r="C10" t="n">
        <x:f>-(C3*Frota!$B$15+C3*Premissas!$B$14*Premissas!$B$15)</x:f>
        <x:v>-98775</x:v>
      </x:c>
      <x:c r="D10" t="n">
        <x:f>-(D3*Frota!$B$15+D3*Premissas!$B$14*Premissas!$B$15)</x:f>
        <x:v>-154747.5</x:v>
      </x:c>
      <x:c r="E10" t="n">
        <x:f>-(E3*Frota!$B$15+E3*Premissas!$B$14*Premissas!$B$15)</x:f>
        <x:v>-200842.5</x:v>
      </x:c>
      <x:c r="F10" t="n">
        <x:f>-(F3*Frota!$B$15+F3*Premissas!$B$14*Premissas!$B$15)</x:f>
        <x:v>-240352.5</x:v>
      </x:c>
      <x:c r="G10" t="n">
        <x:f>-(G3*Frota!$B$15+G3*Premissas!$B$14*Premissas!$B$15)</x:f>
        <x:v>-279862.5</x:v>
      </x:c>
      <x:c r="H10" t="n">
        <x:f>-(H3*Frota!$B$15+H3*Premissas!$B$14*Premissas!$B$15)</x:f>
        <x:v>-279862.5</x:v>
      </x:c>
      <x:c r="I10" t="n">
        <x:f>-(I3*Frota!$B$15+I3*Premissas!$B$14*Premissas!$B$15)</x:f>
        <x:v>-279862.5</x:v>
      </x:c>
      <x:c r="J10" t="n">
        <x:f>-(J3*Frota!$B$15+J3*Premissas!$B$14*Premissas!$B$15)</x:f>
        <x:v>-279862.5</x:v>
      </x:c>
      <x:c r="K10" t="n">
        <x:f>-(K3*Frota!$B$15+K3*Premissas!$B$14*Premissas!$B$15)</x:f>
        <x:v>-279862.5</x:v>
      </x:c>
      <x:c r="L10" t="n">
        <x:f>-(L3*Frota!$B$15+L3*Premissas!$B$14*Premissas!$B$15)</x:f>
        <x:v>-279862.5</x:v>
      </x:c>
      <x:c r="M10" t="n">
        <x:f>-(M3*Frota!$B$15+M3*Premissas!$B$14*Premissas!$B$15)</x:f>
        <x:v>-279862.5</x:v>
      </x:c>
      <x:c r="N10" t="n">
        <x:f>-(N3*Frota!$B$15+N3*Premissas!$B$14*Premissas!$B$15)</x:f>
        <x:v>-279862.5</x:v>
      </x:c>
      <x:c r="O10" t="n">
        <x:f>-(O3*Frota!$B$15+O3*Premissas!$B$14*Premissas!$B$15)</x:f>
        <x:v>-279862.5</x:v>
      </x:c>
      <x:c r="P10" t="n">
        <x:f>-(P3*Frota!$B$15+P3*Premissas!$B$14*Premissas!$B$15)</x:f>
        <x:v>-279862.5</x:v>
      </x:c>
      <x:c r="Q10" t="n">
        <x:f>-(Q3*Frota!$B$15+Q3*Premissas!$B$14*Premissas!$B$15)</x:f>
        <x:v>-279862.5</x:v>
      </x:c>
      <x:c r="R10" t="n">
        <x:f>-(R3*Frota!$B$15+R3*Premissas!$B$14*Premissas!$B$15)</x:f>
        <x:v>-279862.5</x:v>
      </x:c>
      <x:c r="S10" t="n">
        <x:f>-(S3*Frota!$B$15+S3*Premissas!$B$14*Premissas!$B$15)</x:f>
        <x:v>-279862.5</x:v>
      </x:c>
      <x:c r="T10" t="n">
        <x:f>-(T3*Frota!$B$15+T3*Premissas!$B$14*Premissas!$B$15)</x:f>
        <x:v>-279862.5</x:v>
      </x:c>
      <x:c r="U10" t="n">
        <x:f>-(U3*Frota!$B$15+U3*Premissas!$B$14*Premissas!$B$15)</x:f>
        <x:v>-279862.5</x:v>
      </x:c>
      <x:c r="V10" t="n">
        <x:f>-(V3*Frota!$B$15+V3*Premissas!$B$14*Premissas!$B$15)</x:f>
        <x:v>-279862.5</x:v>
      </x:c>
      <x:c r="W10" t="n">
        <x:f>-(W3*Frota!$B$15+W3*Premissas!$B$14*Premissas!$B$15)</x:f>
        <x:v>-279862.5</x:v>
      </x:c>
      <x:c r="X10" t="n">
        <x:f>-(X3*Frota!$B$15+X3*Premissas!$B$14*Premissas!$B$15)</x:f>
        <x:v>-279862.5</x:v>
      </x:c>
      <x:c r="Y10" t="n">
        <x:f>-(Y3*Frota!$B$15+Y3*Premissas!$B$14*Premissas!$B$15)</x:f>
        <x:v>-279862.5</x:v>
      </x:c>
      <x:c r="Z10" t="n">
        <x:f>-(Z3*Frota!$B$15+Z3*Premissas!$B$14*Premissas!$B$15)</x:f>
        <x:v>-279862.5</x:v>
      </x:c>
      <x:c r="AA10" t="n">
        <x:f>-(AA3*Frota!$B$15+AA3*Premissas!$B$14*Premissas!$B$15)</x:f>
        <x:v>-279862.5</x:v>
      </x:c>
      <x:c r="AB10" t="n">
        <x:f>-(AB3*Frota!$B$15+AB3*Premissas!$B$14*Premissas!$B$15)</x:f>
        <x:v>-279862.5</x:v>
      </x:c>
      <x:c r="AC10" t="n">
        <x:f>-(AC3*Frota!$B$15+AC3*Premissas!$B$14*Premissas!$B$15)</x:f>
        <x:v>-279862.5</x:v>
      </x:c>
      <x:c r="AD10" t="n">
        <x:f>-(AD3*Frota!$B$15+AD3*Premissas!$B$14*Premissas!$B$15)</x:f>
        <x:v>-279862.5</x:v>
      </x:c>
      <x:c r="AE10" t="n">
        <x:f>-(AE3*Frota!$B$15+AE3*Premissas!$B$14*Premissas!$B$15)</x:f>
        <x:v>-279862.5</x:v>
      </x:c>
      <x:c r="AF10" t="n">
        <x:f>-(AF3*Frota!$B$15+AF3*Premissas!$B$14*Premissas!$B$15)</x:f>
        <x:v>-279862.5</x:v>
      </x:c>
      <x:c r="AG10" t="n">
        <x:f>-(AG3*Frota!$B$15+AG3*Premissas!$B$14*Premissas!$B$15)</x:f>
        <x:v>-279862.5</x:v>
      </x:c>
      <x:c r="AH10" t="n">
        <x:f>-(AH3*Frota!$B$15+AH3*Premissas!$B$14*Premissas!$B$15)</x:f>
        <x:v>-279862.5</x:v>
      </x:c>
      <x:c r="AI10" t="n">
        <x:f>-(AI3*Frota!$B$15+AI3*Premissas!$B$14*Premissas!$B$15)</x:f>
        <x:v>-279862.5</x:v>
      </x:c>
      <x:c r="AJ10" t="n">
        <x:f>-(AJ3*Frota!$B$15+AJ3*Premissas!$B$14*Premissas!$B$15)</x:f>
        <x:v>-279862.5</x:v>
      </x:c>
      <x:c r="AK10" t="n">
        <x:f>-(AK3*Frota!$B$15+AK3*Premissas!$B$14*Premissas!$B$15)</x:f>
        <x:v>-279862.5</x:v>
      </x:c>
    </x:row>
    <x:row r="11">
      <x:c r="A11" t="str">
        <x:v>(-) Perda inadimplência</x:v>
      </x:c>
      <x:c r="B11" t="n">
        <x:f>-B4*Premissas!$B$21*(1-Premissas!$B$22)</x:f>
        <x:v>-1774.5000000000002</x:v>
      </x:c>
      <x:c r="C11" t="n">
        <x:f>-C4*Premissas!$B$21*(1-Premissas!$B$22)</x:f>
        <x:v>-4095.0000000000005</x:v>
      </x:c>
      <x:c r="D11" t="n">
        <x:f>-D4*Premissas!$B$21*(1-Premissas!$B$22)</x:f>
        <x:v>-6415.500000000001</x:v>
      </x:c>
      <x:c r="E11" t="n">
        <x:f>-E4*Premissas!$B$21*(1-Premissas!$B$22)</x:f>
        <x:v>-8326.5</x:v>
      </x:c>
      <x:c r="F11" t="n">
        <x:f>-F4*Premissas!$B$21*(1-Premissas!$B$22)</x:f>
        <x:v>-9964.500000000002</x:v>
      </x:c>
      <x:c r="G11" t="n">
        <x:f>-G4*Premissas!$B$21*(1-Premissas!$B$22)</x:f>
        <x:v>-11602.500000000002</x:v>
      </x:c>
      <x:c r="H11" t="n">
        <x:f>-H4*Premissas!$B$21*(1-Premissas!$B$22)</x:f>
        <x:v>-11602.500000000002</x:v>
      </x:c>
      <x:c r="I11" t="n">
        <x:f>-I4*Premissas!$B$21*(1-Premissas!$B$22)</x:f>
        <x:v>-11602.500000000002</x:v>
      </x:c>
      <x:c r="J11" t="n">
        <x:f>-J4*Premissas!$B$21*(1-Premissas!$B$22)</x:f>
        <x:v>-11602.500000000002</x:v>
      </x:c>
      <x:c r="K11" t="n">
        <x:f>-K4*Premissas!$B$21*(1-Premissas!$B$22)</x:f>
        <x:v>-11602.500000000002</x:v>
      </x:c>
      <x:c r="L11" t="n">
        <x:f>-L4*Premissas!$B$21*(1-Premissas!$B$22)</x:f>
        <x:v>-11602.500000000002</x:v>
      </x:c>
      <x:c r="M11" t="n">
        <x:f>-M4*Premissas!$B$21*(1-Premissas!$B$22)</x:f>
        <x:v>-11602.500000000002</x:v>
      </x:c>
      <x:c r="N11" t="n">
        <x:f>-N4*Premissas!$B$21*(1-Premissas!$B$22)</x:f>
        <x:v>-11602.500000000002</x:v>
      </x:c>
      <x:c r="O11" t="n">
        <x:f>-O4*Premissas!$B$21*(1-Premissas!$B$22)</x:f>
        <x:v>-11602.500000000002</x:v>
      </x:c>
      <x:c r="P11" t="n">
        <x:f>-P4*Premissas!$B$21*(1-Premissas!$B$22)</x:f>
        <x:v>-11602.500000000002</x:v>
      </x:c>
      <x:c r="Q11" t="n">
        <x:f>-Q4*Premissas!$B$21*(1-Premissas!$B$22)</x:f>
        <x:v>-11602.500000000002</x:v>
      </x:c>
      <x:c r="R11" t="n">
        <x:f>-R4*Premissas!$B$21*(1-Premissas!$B$22)</x:f>
        <x:v>-11602.500000000002</x:v>
      </x:c>
      <x:c r="S11" t="n">
        <x:f>-S4*Premissas!$B$21*(1-Premissas!$B$22)</x:f>
        <x:v>-11602.500000000002</x:v>
      </x:c>
      <x:c r="T11" t="n">
        <x:f>-T4*Premissas!$B$21*(1-Premissas!$B$22)</x:f>
        <x:v>-11602.500000000002</x:v>
      </x:c>
      <x:c r="U11" t="n">
        <x:f>-U4*Premissas!$B$21*(1-Premissas!$B$22)</x:f>
        <x:v>-11602.500000000002</x:v>
      </x:c>
      <x:c r="V11" t="n">
        <x:f>-V4*Premissas!$B$21*(1-Premissas!$B$22)</x:f>
        <x:v>-11602.500000000002</x:v>
      </x:c>
      <x:c r="W11" t="n">
        <x:f>-W4*Premissas!$B$21*(1-Premissas!$B$22)</x:f>
        <x:v>-11602.500000000002</x:v>
      </x:c>
      <x:c r="X11" t="n">
        <x:f>-X4*Premissas!$B$21*(1-Premissas!$B$22)</x:f>
        <x:v>-11602.500000000002</x:v>
      </x:c>
      <x:c r="Y11" t="n">
        <x:f>-Y4*Premissas!$B$21*(1-Premissas!$B$22)</x:f>
        <x:v>-11602.500000000002</x:v>
      </x:c>
      <x:c r="Z11" t="n">
        <x:f>-Z4*Premissas!$B$21*(1-Premissas!$B$22)</x:f>
        <x:v>-11602.500000000002</x:v>
      </x:c>
      <x:c r="AA11" t="n">
        <x:f>-AA4*Premissas!$B$21*(1-Premissas!$B$22)</x:f>
        <x:v>-11602.500000000002</x:v>
      </x:c>
      <x:c r="AB11" t="n">
        <x:f>-AB4*Premissas!$B$21*(1-Premissas!$B$22)</x:f>
        <x:v>-11602.500000000002</x:v>
      </x:c>
      <x:c r="AC11" t="n">
        <x:f>-AC4*Premissas!$B$21*(1-Premissas!$B$22)</x:f>
        <x:v>-11602.500000000002</x:v>
      </x:c>
      <x:c r="AD11" t="n">
        <x:f>-AD4*Premissas!$B$21*(1-Premissas!$B$22)</x:f>
        <x:v>-11602.500000000002</x:v>
      </x:c>
      <x:c r="AE11" t="n">
        <x:f>-AE4*Premissas!$B$21*(1-Premissas!$B$22)</x:f>
        <x:v>-11602.500000000002</x:v>
      </x:c>
      <x:c r="AF11" t="n">
        <x:f>-AF4*Premissas!$B$21*(1-Premissas!$B$22)</x:f>
        <x:v>-11602.500000000002</x:v>
      </x:c>
      <x:c r="AG11" t="n">
        <x:f>-AG4*Premissas!$B$21*(1-Premissas!$B$22)</x:f>
        <x:v>-11602.500000000002</x:v>
      </x:c>
      <x:c r="AH11" t="n">
        <x:f>-AH4*Premissas!$B$21*(1-Premissas!$B$22)</x:f>
        <x:v>-11602.500000000002</x:v>
      </x:c>
      <x:c r="AI11" t="n">
        <x:f>-AI4*Premissas!$B$21*(1-Premissas!$B$22)</x:f>
        <x:v>-11602.500000000002</x:v>
      </x:c>
      <x:c r="AJ11" t="n">
        <x:f>-AJ4*Premissas!$B$21*(1-Premissas!$B$22)</x:f>
        <x:v>-11602.500000000002</x:v>
      </x:c>
      <x:c r="AK11" t="n">
        <x:f>-AK4*Premissas!$B$21*(1-Premissas!$B$22)</x:f>
        <x:v>-11602.500000000002</x:v>
      </x:c>
    </x:row>
    <x:row r="12">
      <x:c r="A12" t="str">
        <x:v>(=) MARGEM BRUTA</x:v>
      </x:c>
      <x:c r="B12" t="n">
        <x:f>B9+B10+B11</x:f>
        <x:v>3181.1543999999994</x:v>
      </x:c>
      <x:c r="C12" t="n">
        <x:f>C9+C10+C11</x:f>
        <x:v>1243.154399999999</x:v>
      </x:c>
      <x:c r="D12" t="n">
        <x:f>D9+D10+D11</x:f>
        <x:v>-694.8456000000015</x:v>
      </x:c>
      <x:c r="E12" t="n">
        <x:f>E9+E10+E11</x:f>
        <x:v>-2290.8456000000006</x:v>
      </x:c>
      <x:c r="F12" t="n">
        <x:f>F9+F10+F11</x:f>
        <x:v>-3658.8456000000024</x:v>
      </x:c>
      <x:c r="G12" t="n">
        <x:f>G9+G10+G11</x:f>
        <x:v>-5026.845600000002</x:v>
      </x:c>
      <x:c r="H12" t="n">
        <x:f>H9+H10+H11</x:f>
        <x:v>-5026.845600000002</x:v>
      </x:c>
      <x:c r="I12" t="n">
        <x:f>I9+I10+I11</x:f>
        <x:v>-5026.845600000002</x:v>
      </x:c>
      <x:c r="J12" t="n">
        <x:f>J9+J10+J11</x:f>
        <x:v>-5026.845600000002</x:v>
      </x:c>
      <x:c r="K12" t="n">
        <x:f>K9+K10+K11</x:f>
        <x:v>-5026.845600000002</x:v>
      </x:c>
      <x:c r="L12" t="n">
        <x:f>L9+L10+L11</x:f>
        <x:v>-5026.845600000002</x:v>
      </x:c>
      <x:c r="M12" t="n">
        <x:f>M9+M10+M11</x:f>
        <x:v>-5026.845600000002</x:v>
      </x:c>
      <x:c r="N12" t="n">
        <x:f>N9+N10+N11</x:f>
        <x:v>-5026.845600000002</x:v>
      </x:c>
      <x:c r="O12" t="n">
        <x:f>O9+O10+O11</x:f>
        <x:v>-5026.845600000002</x:v>
      </x:c>
      <x:c r="P12" t="n">
        <x:f>P9+P10+P11</x:f>
        <x:v>-5026.845600000002</x:v>
      </x:c>
      <x:c r="Q12" t="n">
        <x:f>Q9+Q10+Q11</x:f>
        <x:v>-5026.845600000002</x:v>
      </x:c>
      <x:c r="R12" t="n">
        <x:f>R9+R10+R11</x:f>
        <x:v>-5026.845600000002</x:v>
      </x:c>
      <x:c r="S12" t="n">
        <x:f>S9+S10+S11</x:f>
        <x:v>-5026.845600000002</x:v>
      </x:c>
      <x:c r="T12" t="n">
        <x:f>T9+T10+T11</x:f>
        <x:v>-5026.845600000002</x:v>
      </x:c>
      <x:c r="U12" t="n">
        <x:f>U9+U10+U11</x:f>
        <x:v>-5026.845600000002</x:v>
      </x:c>
      <x:c r="V12" t="n">
        <x:f>V9+V10+V11</x:f>
        <x:v>-5026.845600000002</x:v>
      </x:c>
      <x:c r="W12" t="n">
        <x:f>W9+W10+W11</x:f>
        <x:v>-5026.845600000002</x:v>
      </x:c>
      <x:c r="X12" t="n">
        <x:f>X9+X10+X11</x:f>
        <x:v>-5026.845600000002</x:v>
      </x:c>
      <x:c r="Y12" t="n">
        <x:f>Y9+Y10+Y11</x:f>
        <x:v>-5026.845600000002</x:v>
      </x:c>
      <x:c r="Z12" t="n">
        <x:f>Z9+Z10+Z11</x:f>
        <x:v>-5026.845600000002</x:v>
      </x:c>
      <x:c r="AA12" t="n">
        <x:f>AA9+AA10+AA11</x:f>
        <x:v>-5026.845600000002</x:v>
      </x:c>
      <x:c r="AB12" t="n">
        <x:f>AB9+AB10+AB11</x:f>
        <x:v>-5026.845600000002</x:v>
      </x:c>
      <x:c r="AC12" t="n">
        <x:f>AC9+AC10+AC11</x:f>
        <x:v>-5026.845600000002</x:v>
      </x:c>
      <x:c r="AD12" t="n">
        <x:f>AD9+AD10+AD11</x:f>
        <x:v>-5026.845600000002</x:v>
      </x:c>
      <x:c r="AE12" t="n">
        <x:f>AE9+AE10+AE11</x:f>
        <x:v>-5026.845600000002</x:v>
      </x:c>
      <x:c r="AF12" t="n">
        <x:f>AF9+AF10+AF11</x:f>
        <x:v>-5026.845600000002</x:v>
      </x:c>
      <x:c r="AG12" t="n">
        <x:f>AG9+AG10+AG11</x:f>
        <x:v>-5026.845600000002</x:v>
      </x:c>
      <x:c r="AH12" t="n">
        <x:f>AH9+AH10+AH11</x:f>
        <x:v>-5026.845600000002</x:v>
      </x:c>
      <x:c r="AI12" t="n">
        <x:f>AI9+AI10+AI11</x:f>
        <x:v>-5026.845600000002</x:v>
      </x:c>
      <x:c r="AJ12" t="n">
        <x:f>AJ9+AJ10+AJ11</x:f>
        <x:v>-5026.845600000002</x:v>
      </x:c>
      <x:c r="AK12" t="n">
        <x:f>AK9+AK10+AK11</x:f>
        <x:v>-5026.845600000002</x:v>
      </x:c>
    </x:row>
    <x:row r="13">
      <x:c r="A13" t="str">
        <x:v>(-) Desp. comercial (equipe cial+comissão)</x:v>
      </x:c>
      <x:c r="B13" t="n">
        <x:f>-(Equipe!$E$3+Equipe!$E$4+Equipe!$E$9+Equipe!$E$10)</x:f>
        <x:v>-23600</x:v>
      </x:c>
      <x:c r="C13" t="n">
        <x:f>-(Equipe!$E$3+Equipe!$E$4+Equipe!$E$9+Equipe!$E$10)</x:f>
        <x:v>-23600</x:v>
      </x:c>
      <x:c r="D13" t="n">
        <x:f>-(Equipe!$E$3+Equipe!$E$4+Equipe!$E$9+Equipe!$E$10)</x:f>
        <x:v>-23600</x:v>
      </x:c>
      <x:c r="E13" t="n">
        <x:f>-(Equipe!$E$3+Equipe!$E$4+Equipe!$E$9+Equipe!$E$10)</x:f>
        <x:v>-23600</x:v>
      </x:c>
      <x:c r="F13" t="n">
        <x:f>-(Equipe!$E$3+Equipe!$E$4+Equipe!$E$9+Equipe!$E$10)</x:f>
        <x:v>-23600</x:v>
      </x:c>
      <x:c r="G13" t="n">
        <x:f>-(Equipe!$E$3+Equipe!$E$4+Equipe!$E$9+Equipe!$E$10)</x:f>
        <x:v>-23600</x:v>
      </x:c>
      <x:c r="H13" t="n">
        <x:f>-(Equipe!$E$3+Equipe!$E$4+Equipe!$E$9+Equipe!$E$10)</x:f>
        <x:v>-23600</x:v>
      </x:c>
      <x:c r="I13" t="n">
        <x:f>-(Equipe!$E$3+Equipe!$E$4+Equipe!$E$9+Equipe!$E$10)</x:f>
        <x:v>-23600</x:v>
      </x:c>
      <x:c r="J13" t="n">
        <x:f>-(Equipe!$E$3+Equipe!$E$4+Equipe!$E$9+Equipe!$E$10)</x:f>
        <x:v>-23600</x:v>
      </x:c>
      <x:c r="K13" t="n">
        <x:f>-(Equipe!$E$3+Equipe!$E$4+Equipe!$E$9+Equipe!$E$10)</x:f>
        <x:v>-23600</x:v>
      </x:c>
      <x:c r="L13" t="n">
        <x:f>-(Equipe!$E$3+Equipe!$E$4+Equipe!$E$9+Equipe!$E$10)</x:f>
        <x:v>-23600</x:v>
      </x:c>
      <x:c r="M13" t="n">
        <x:f>-(Equipe!$E$3+Equipe!$E$4+Equipe!$E$9+Equipe!$E$10)</x:f>
        <x:v>-23600</x:v>
      </x:c>
      <x:c r="N13" t="n">
        <x:f>-(Equipe!$E$3+Equipe!$E$4+Equipe!$E$9+Equipe!$E$10)</x:f>
        <x:v>-23600</x:v>
      </x:c>
      <x:c r="O13" t="n">
        <x:f>-(Equipe!$E$3+Equipe!$E$4+Equipe!$E$9+Equipe!$E$10)</x:f>
        <x:v>-23600</x:v>
      </x:c>
      <x:c r="P13" t="n">
        <x:f>-(Equipe!$E$3+Equipe!$E$4+Equipe!$E$9+Equipe!$E$10)</x:f>
        <x:v>-23600</x:v>
      </x:c>
      <x:c r="Q13" t="n">
        <x:f>-(Equipe!$E$3+Equipe!$E$4+Equipe!$E$9+Equipe!$E$10)</x:f>
        <x:v>-23600</x:v>
      </x:c>
      <x:c r="R13" t="n">
        <x:f>-(Equipe!$E$3+Equipe!$E$4+Equipe!$E$9+Equipe!$E$10)</x:f>
        <x:v>-23600</x:v>
      </x:c>
      <x:c r="S13" t="n">
        <x:f>-(Equipe!$E$3+Equipe!$E$4+Equipe!$E$9+Equipe!$E$10)</x:f>
        <x:v>-23600</x:v>
      </x:c>
      <x:c r="T13" t="n">
        <x:f>-(Equipe!$E$3+Equipe!$E$4+Equipe!$E$9+Equipe!$E$10)</x:f>
        <x:v>-23600</x:v>
      </x:c>
      <x:c r="U13" t="n">
        <x:f>-(Equipe!$E$3+Equipe!$E$4+Equipe!$E$9+Equipe!$E$10)</x:f>
        <x:v>-23600</x:v>
      </x:c>
      <x:c r="V13" t="n">
        <x:f>-(Equipe!$E$3+Equipe!$E$4+Equipe!$E$9+Equipe!$E$10)</x:f>
        <x:v>-23600</x:v>
      </x:c>
      <x:c r="W13" t="n">
        <x:f>-(Equipe!$E$3+Equipe!$E$4+Equipe!$E$9+Equipe!$E$10)</x:f>
        <x:v>-23600</x:v>
      </x:c>
      <x:c r="X13" t="n">
        <x:f>-(Equipe!$E$3+Equipe!$E$4+Equipe!$E$9+Equipe!$E$10)</x:f>
        <x:v>-23600</x:v>
      </x:c>
      <x:c r="Y13" t="n">
        <x:f>-(Equipe!$E$3+Equipe!$E$4+Equipe!$E$9+Equipe!$E$10)</x:f>
        <x:v>-23600</x:v>
      </x:c>
      <x:c r="Z13" t="n">
        <x:f>-(Equipe!$E$3+Equipe!$E$4+Equipe!$E$9+Equipe!$E$10)</x:f>
        <x:v>-23600</x:v>
      </x:c>
      <x:c r="AA13" t="n">
        <x:f>-(Equipe!$E$3+Equipe!$E$4+Equipe!$E$9+Equipe!$E$10)</x:f>
        <x:v>-23600</x:v>
      </x:c>
      <x:c r="AB13" t="n">
        <x:f>-(Equipe!$E$3+Equipe!$E$4+Equipe!$E$9+Equipe!$E$10)</x:f>
        <x:v>-23600</x:v>
      </x:c>
      <x:c r="AC13" t="n">
        <x:f>-(Equipe!$E$3+Equipe!$E$4+Equipe!$E$9+Equipe!$E$10)</x:f>
        <x:v>-23600</x:v>
      </x:c>
      <x:c r="AD13" t="n">
        <x:f>-(Equipe!$E$3+Equipe!$E$4+Equipe!$E$9+Equipe!$E$10)</x:f>
        <x:v>-23600</x:v>
      </x:c>
      <x:c r="AE13" t="n">
        <x:f>-(Equipe!$E$3+Equipe!$E$4+Equipe!$E$9+Equipe!$E$10)</x:f>
        <x:v>-23600</x:v>
      </x:c>
      <x:c r="AF13" t="n">
        <x:f>-(Equipe!$E$3+Equipe!$E$4+Equipe!$E$9+Equipe!$E$10)</x:f>
        <x:v>-23600</x:v>
      </x:c>
      <x:c r="AG13" t="n">
        <x:f>-(Equipe!$E$3+Equipe!$E$4+Equipe!$E$9+Equipe!$E$10)</x:f>
        <x:v>-23600</x:v>
      </x:c>
      <x:c r="AH13" t="n">
        <x:f>-(Equipe!$E$3+Equipe!$E$4+Equipe!$E$9+Equipe!$E$10)</x:f>
        <x:v>-23600</x:v>
      </x:c>
      <x:c r="AI13" t="n">
        <x:f>-(Equipe!$E$3+Equipe!$E$4+Equipe!$E$9+Equipe!$E$10)</x:f>
        <x:v>-23600</x:v>
      </x:c>
      <x:c r="AJ13" t="n">
        <x:f>-(Equipe!$E$3+Equipe!$E$4+Equipe!$E$9+Equipe!$E$10)</x:f>
        <x:v>-23600</x:v>
      </x:c>
      <x:c r="AK13" t="n">
        <x:f>-(Equipe!$E$3+Equipe!$E$4+Equipe!$E$9+Equipe!$E$10)</x:f>
        <x:v>-23600</x:v>
      </x:c>
    </x:row>
    <x:row r="14">
      <x:c r="A14" t="str">
        <x:v>(-) Desp. marketing</x:v>
      </x:c>
      <x:c r="B14" t="n">
        <x:f>-Premissas!$B$25</x:f>
        <x:v>-30000</x:v>
      </x:c>
      <x:c r="C14" t="n">
        <x:f>-Premissas!$B$25</x:f>
        <x:v>-30000</x:v>
      </x:c>
      <x:c r="D14" t="n">
        <x:f>-Premissas!$B$25</x:f>
        <x:v>-30000</x:v>
      </x:c>
      <x:c r="E14" t="n">
        <x:f>-Premissas!$B$25</x:f>
        <x:v>-30000</x:v>
      </x:c>
      <x:c r="F14" t="n">
        <x:f>-Premissas!$B$25</x:f>
        <x:v>-30000</x:v>
      </x:c>
      <x:c r="G14" t="n">
        <x:f>-Premissas!$B$25</x:f>
        <x:v>-30000</x:v>
      </x:c>
      <x:c r="H14" t="n">
        <x:f>-Premissas!$B$25</x:f>
        <x:v>-30000</x:v>
      </x:c>
      <x:c r="I14" t="n">
        <x:f>-Premissas!$B$25</x:f>
        <x:v>-30000</x:v>
      </x:c>
      <x:c r="J14" t="n">
        <x:f>-Premissas!$B$25</x:f>
        <x:v>-30000</x:v>
      </x:c>
      <x:c r="K14" t="n">
        <x:f>-Premissas!$B$25</x:f>
        <x:v>-30000</x:v>
      </x:c>
      <x:c r="L14" t="n">
        <x:f>-Premissas!$B$25</x:f>
        <x:v>-30000</x:v>
      </x:c>
      <x:c r="M14" t="n">
        <x:f>-Premissas!$B$25</x:f>
        <x:v>-30000</x:v>
      </x:c>
      <x:c r="N14" t="n">
        <x:f>-Premissas!$B$25</x:f>
        <x:v>-30000</x:v>
      </x:c>
      <x:c r="O14" t="n">
        <x:f>-Premissas!$B$25</x:f>
        <x:v>-30000</x:v>
      </x:c>
      <x:c r="P14" t="n">
        <x:f>-Premissas!$B$25</x:f>
        <x:v>-30000</x:v>
      </x:c>
      <x:c r="Q14" t="n">
        <x:f>-Premissas!$B$25</x:f>
        <x:v>-30000</x:v>
      </x:c>
      <x:c r="R14" t="n">
        <x:f>-Premissas!$B$25</x:f>
        <x:v>-30000</x:v>
      </x:c>
      <x:c r="S14" t="n">
        <x:f>-Premissas!$B$25</x:f>
        <x:v>-30000</x:v>
      </x:c>
      <x:c r="T14" t="n">
        <x:f>-Premissas!$B$25</x:f>
        <x:v>-30000</x:v>
      </x:c>
      <x:c r="U14" t="n">
        <x:f>-Premissas!$B$25</x:f>
        <x:v>-30000</x:v>
      </x:c>
      <x:c r="V14" t="n">
        <x:f>-Premissas!$B$25</x:f>
        <x:v>-30000</x:v>
      </x:c>
      <x:c r="W14" t="n">
        <x:f>-Premissas!$B$25</x:f>
        <x:v>-30000</x:v>
      </x:c>
      <x:c r="X14" t="n">
        <x:f>-Premissas!$B$25</x:f>
        <x:v>-30000</x:v>
      </x:c>
      <x:c r="Y14" t="n">
        <x:f>-Premissas!$B$25</x:f>
        <x:v>-30000</x:v>
      </x:c>
      <x:c r="Z14" t="n">
        <x:f>-Premissas!$B$25</x:f>
        <x:v>-30000</x:v>
      </x:c>
      <x:c r="AA14" t="n">
        <x:f>-Premissas!$B$25</x:f>
        <x:v>-30000</x:v>
      </x:c>
      <x:c r="AB14" t="n">
        <x:f>-Premissas!$B$25</x:f>
        <x:v>-30000</x:v>
      </x:c>
      <x:c r="AC14" t="n">
        <x:f>-Premissas!$B$25</x:f>
        <x:v>-30000</x:v>
      </x:c>
      <x:c r="AD14" t="n">
        <x:f>-Premissas!$B$25</x:f>
        <x:v>-30000</x:v>
      </x:c>
      <x:c r="AE14" t="n">
        <x:f>-Premissas!$B$25</x:f>
        <x:v>-30000</x:v>
      </x:c>
      <x:c r="AF14" t="n">
        <x:f>-Premissas!$B$25</x:f>
        <x:v>-30000</x:v>
      </x:c>
      <x:c r="AG14" t="n">
        <x:f>-Premissas!$B$25</x:f>
        <x:v>-30000</x:v>
      </x:c>
      <x:c r="AH14" t="n">
        <x:f>-Premissas!$B$25</x:f>
        <x:v>-30000</x:v>
      </x:c>
      <x:c r="AI14" t="n">
        <x:f>-Premissas!$B$25</x:f>
        <x:v>-30000</x:v>
      </x:c>
      <x:c r="AJ14" t="n">
        <x:f>-Premissas!$B$25</x:f>
        <x:v>-30000</x:v>
      </x:c>
      <x:c r="AK14" t="n">
        <x:f>-Premissas!$B$25</x:f>
        <x:v>-30000</x:v>
      </x:c>
    </x:row>
    <x:row r="15">
      <x:c r="A15" t="str">
        <x:v>(-) Desp. operacional (frota+CS)</x:v>
      </x:c>
      <x:c r="B15" t="n">
        <x:f>-(Equipe!$E$5+Equipe!$E$6+Equipe!$E$7+Equipe!$E$8)</x:f>
        <x:v>-16000</x:v>
      </x:c>
      <x:c r="C15" t="n">
        <x:f>-(Equipe!$E$5+Equipe!$E$6+Equipe!$E$7+Equipe!$E$8)</x:f>
        <x:v>-16000</x:v>
      </x:c>
      <x:c r="D15" t="n">
        <x:f>-(Equipe!$E$5+Equipe!$E$6+Equipe!$E$7+Equipe!$E$8)</x:f>
        <x:v>-16000</x:v>
      </x:c>
      <x:c r="E15" t="n">
        <x:f>-(Equipe!$E$5+Equipe!$E$6+Equipe!$E$7+Equipe!$E$8)</x:f>
        <x:v>-16000</x:v>
      </x:c>
      <x:c r="F15" t="n">
        <x:f>-(Equipe!$E$5+Equipe!$E$6+Equipe!$E$7+Equipe!$E$8)</x:f>
        <x:v>-16000</x:v>
      </x:c>
      <x:c r="G15" t="n">
        <x:f>-(Equipe!$E$5+Equipe!$E$6+Equipe!$E$7+Equipe!$E$8)</x:f>
        <x:v>-16000</x:v>
      </x:c>
      <x:c r="H15" t="n">
        <x:f>-(Equipe!$E$5+Equipe!$E$6+Equipe!$E$7+Equipe!$E$8)</x:f>
        <x:v>-16000</x:v>
      </x:c>
      <x:c r="I15" t="n">
        <x:f>-(Equipe!$E$5+Equipe!$E$6+Equipe!$E$7+Equipe!$E$8)</x:f>
        <x:v>-16000</x:v>
      </x:c>
      <x:c r="J15" t="n">
        <x:f>-(Equipe!$E$5+Equipe!$E$6+Equipe!$E$7+Equipe!$E$8)</x:f>
        <x:v>-16000</x:v>
      </x:c>
      <x:c r="K15" t="n">
        <x:f>-(Equipe!$E$5+Equipe!$E$6+Equipe!$E$7+Equipe!$E$8)</x:f>
        <x:v>-16000</x:v>
      </x:c>
      <x:c r="L15" t="n">
        <x:f>-(Equipe!$E$5+Equipe!$E$6+Equipe!$E$7+Equipe!$E$8)</x:f>
        <x:v>-16000</x:v>
      </x:c>
      <x:c r="M15" t="n">
        <x:f>-(Equipe!$E$5+Equipe!$E$6+Equipe!$E$7+Equipe!$E$8)</x:f>
        <x:v>-16000</x:v>
      </x:c>
      <x:c r="N15" t="n">
        <x:f>-(Equipe!$E$5+Equipe!$E$6+Equipe!$E$7+Equipe!$E$8)</x:f>
        <x:v>-16000</x:v>
      </x:c>
      <x:c r="O15" t="n">
        <x:f>-(Equipe!$E$5+Equipe!$E$6+Equipe!$E$7+Equipe!$E$8)</x:f>
        <x:v>-16000</x:v>
      </x:c>
      <x:c r="P15" t="n">
        <x:f>-(Equipe!$E$5+Equipe!$E$6+Equipe!$E$7+Equipe!$E$8)</x:f>
        <x:v>-16000</x:v>
      </x:c>
      <x:c r="Q15" t="n">
        <x:f>-(Equipe!$E$5+Equipe!$E$6+Equipe!$E$7+Equipe!$E$8)</x:f>
        <x:v>-16000</x:v>
      </x:c>
      <x:c r="R15" t="n">
        <x:f>-(Equipe!$E$5+Equipe!$E$6+Equipe!$E$7+Equipe!$E$8)</x:f>
        <x:v>-16000</x:v>
      </x:c>
      <x:c r="S15" t="n">
        <x:f>-(Equipe!$E$5+Equipe!$E$6+Equipe!$E$7+Equipe!$E$8)</x:f>
        <x:v>-16000</x:v>
      </x:c>
      <x:c r="T15" t="n">
        <x:f>-(Equipe!$E$5+Equipe!$E$6+Equipe!$E$7+Equipe!$E$8)</x:f>
        <x:v>-16000</x:v>
      </x:c>
      <x:c r="U15" t="n">
        <x:f>-(Equipe!$E$5+Equipe!$E$6+Equipe!$E$7+Equipe!$E$8)</x:f>
        <x:v>-16000</x:v>
      </x:c>
      <x:c r="V15" t="n">
        <x:f>-(Equipe!$E$5+Equipe!$E$6+Equipe!$E$7+Equipe!$E$8)</x:f>
        <x:v>-16000</x:v>
      </x:c>
      <x:c r="W15" t="n">
        <x:f>-(Equipe!$E$5+Equipe!$E$6+Equipe!$E$7+Equipe!$E$8)</x:f>
        <x:v>-16000</x:v>
      </x:c>
      <x:c r="X15" t="n">
        <x:f>-(Equipe!$E$5+Equipe!$E$6+Equipe!$E$7+Equipe!$E$8)</x:f>
        <x:v>-16000</x:v>
      </x:c>
      <x:c r="Y15" t="n">
        <x:f>-(Equipe!$E$5+Equipe!$E$6+Equipe!$E$7+Equipe!$E$8)</x:f>
        <x:v>-16000</x:v>
      </x:c>
      <x:c r="Z15" t="n">
        <x:f>-(Equipe!$E$5+Equipe!$E$6+Equipe!$E$7+Equipe!$E$8)</x:f>
        <x:v>-16000</x:v>
      </x:c>
      <x:c r="AA15" t="n">
        <x:f>-(Equipe!$E$5+Equipe!$E$6+Equipe!$E$7+Equipe!$E$8)</x:f>
        <x:v>-16000</x:v>
      </x:c>
      <x:c r="AB15" t="n">
        <x:f>-(Equipe!$E$5+Equipe!$E$6+Equipe!$E$7+Equipe!$E$8)</x:f>
        <x:v>-16000</x:v>
      </x:c>
      <x:c r="AC15" t="n">
        <x:f>-(Equipe!$E$5+Equipe!$E$6+Equipe!$E$7+Equipe!$E$8)</x:f>
        <x:v>-16000</x:v>
      </x:c>
      <x:c r="AD15" t="n">
        <x:f>-(Equipe!$E$5+Equipe!$E$6+Equipe!$E$7+Equipe!$E$8)</x:f>
        <x:v>-16000</x:v>
      </x:c>
      <x:c r="AE15" t="n">
        <x:f>-(Equipe!$E$5+Equipe!$E$6+Equipe!$E$7+Equipe!$E$8)</x:f>
        <x:v>-16000</x:v>
      </x:c>
      <x:c r="AF15" t="n">
        <x:f>-(Equipe!$E$5+Equipe!$E$6+Equipe!$E$7+Equipe!$E$8)</x:f>
        <x:v>-16000</x:v>
      </x:c>
      <x:c r="AG15" t="n">
        <x:f>-(Equipe!$E$5+Equipe!$E$6+Equipe!$E$7+Equipe!$E$8)</x:f>
        <x:v>-16000</x:v>
      </x:c>
      <x:c r="AH15" t="n">
        <x:f>-(Equipe!$E$5+Equipe!$E$6+Equipe!$E$7+Equipe!$E$8)</x:f>
        <x:v>-16000</x:v>
      </x:c>
      <x:c r="AI15" t="n">
        <x:f>-(Equipe!$E$5+Equipe!$E$6+Equipe!$E$7+Equipe!$E$8)</x:f>
        <x:v>-16000</x:v>
      </x:c>
      <x:c r="AJ15" t="n">
        <x:f>-(Equipe!$E$5+Equipe!$E$6+Equipe!$E$7+Equipe!$E$8)</x:f>
        <x:v>-16000</x:v>
      </x:c>
      <x:c r="AK15" t="n">
        <x:f>-(Equipe!$E$5+Equipe!$E$6+Equipe!$E$7+Equipe!$E$8)</x:f>
        <x:v>-16000</x:v>
      </x:c>
    </x:row>
    <x:row r="16">
      <x:c r="A16" t="str">
        <x:v>(-) Desp. administrativa</x:v>
      </x:c>
      <x:c r="B16" t="n">
        <x:f>-(Premissas!$B$53+Premissas!$B$54)</x:f>
        <x:v>-30000</x:v>
      </x:c>
      <x:c r="C16" t="n">
        <x:f>-(Premissas!$B$53+Premissas!$B$54)</x:f>
        <x:v>-30000</x:v>
      </x:c>
      <x:c r="D16" t="n">
        <x:f>-(Premissas!$B$53+Premissas!$B$54)</x:f>
        <x:v>-30000</x:v>
      </x:c>
      <x:c r="E16" t="n">
        <x:f>-(Premissas!$B$53+Premissas!$B$54)</x:f>
        <x:v>-30000</x:v>
      </x:c>
      <x:c r="F16" t="n">
        <x:f>-(Premissas!$B$53+Premissas!$B$54)</x:f>
        <x:v>-30000</x:v>
      </x:c>
      <x:c r="G16" t="n">
        <x:f>-(Premissas!$B$53+Premissas!$B$54)</x:f>
        <x:v>-30000</x:v>
      </x:c>
      <x:c r="H16" t="n">
        <x:f>-(Premissas!$B$53+Premissas!$B$54)</x:f>
        <x:v>-30000</x:v>
      </x:c>
      <x:c r="I16" t="n">
        <x:f>-(Premissas!$B$53+Premissas!$B$54)</x:f>
        <x:v>-30000</x:v>
      </x:c>
      <x:c r="J16" t="n">
        <x:f>-(Premissas!$B$53+Premissas!$B$54)</x:f>
        <x:v>-30000</x:v>
      </x:c>
      <x:c r="K16" t="n">
        <x:f>-(Premissas!$B$53+Premissas!$B$54)</x:f>
        <x:v>-30000</x:v>
      </x:c>
      <x:c r="L16" t="n">
        <x:f>-(Premissas!$B$53+Premissas!$B$54)</x:f>
        <x:v>-30000</x:v>
      </x:c>
      <x:c r="M16" t="n">
        <x:f>-(Premissas!$B$53+Premissas!$B$54)</x:f>
        <x:v>-30000</x:v>
      </x:c>
      <x:c r="N16" t="n">
        <x:f>-(Premissas!$B$53+Premissas!$B$54)</x:f>
        <x:v>-30000</x:v>
      </x:c>
      <x:c r="O16" t="n">
        <x:f>-(Premissas!$B$53+Premissas!$B$54)</x:f>
        <x:v>-30000</x:v>
      </x:c>
      <x:c r="P16" t="n">
        <x:f>-(Premissas!$B$53+Premissas!$B$54)</x:f>
        <x:v>-30000</x:v>
      </x:c>
      <x:c r="Q16" t="n">
        <x:f>-(Premissas!$B$53+Premissas!$B$54)</x:f>
        <x:v>-30000</x:v>
      </x:c>
      <x:c r="R16" t="n">
        <x:f>-(Premissas!$B$53+Premissas!$B$54)</x:f>
        <x:v>-30000</x:v>
      </x:c>
      <x:c r="S16" t="n">
        <x:f>-(Premissas!$B$53+Premissas!$B$54)</x:f>
        <x:v>-30000</x:v>
      </x:c>
      <x:c r="T16" t="n">
        <x:f>-(Premissas!$B$53+Premissas!$B$54)</x:f>
        <x:v>-30000</x:v>
      </x:c>
      <x:c r="U16" t="n">
        <x:f>-(Premissas!$B$53+Premissas!$B$54)</x:f>
        <x:v>-30000</x:v>
      </x:c>
      <x:c r="V16" t="n">
        <x:f>-(Premissas!$B$53+Premissas!$B$54)</x:f>
        <x:v>-30000</x:v>
      </x:c>
      <x:c r="W16" t="n">
        <x:f>-(Premissas!$B$53+Premissas!$B$54)</x:f>
        <x:v>-30000</x:v>
      </x:c>
      <x:c r="X16" t="n">
        <x:f>-(Premissas!$B$53+Premissas!$B$54)</x:f>
        <x:v>-30000</x:v>
      </x:c>
      <x:c r="Y16" t="n">
        <x:f>-(Premissas!$B$53+Premissas!$B$54)</x:f>
        <x:v>-30000</x:v>
      </x:c>
      <x:c r="Z16" t="n">
        <x:f>-(Premissas!$B$53+Premissas!$B$54)</x:f>
        <x:v>-30000</x:v>
      </x:c>
      <x:c r="AA16" t="n">
        <x:f>-(Premissas!$B$53+Premissas!$B$54)</x:f>
        <x:v>-30000</x:v>
      </x:c>
      <x:c r="AB16" t="n">
        <x:f>-(Premissas!$B$53+Premissas!$B$54)</x:f>
        <x:v>-30000</x:v>
      </x:c>
      <x:c r="AC16" t="n">
        <x:f>-(Premissas!$B$53+Premissas!$B$54)</x:f>
        <x:v>-30000</x:v>
      </x:c>
      <x:c r="AD16" t="n">
        <x:f>-(Premissas!$B$53+Premissas!$B$54)</x:f>
        <x:v>-30000</x:v>
      </x:c>
      <x:c r="AE16" t="n">
        <x:f>-(Premissas!$B$53+Premissas!$B$54)</x:f>
        <x:v>-30000</x:v>
      </x:c>
      <x:c r="AF16" t="n">
        <x:f>-(Premissas!$B$53+Premissas!$B$54)</x:f>
        <x:v>-30000</x:v>
      </x:c>
      <x:c r="AG16" t="n">
        <x:f>-(Premissas!$B$53+Premissas!$B$54)</x:f>
        <x:v>-30000</x:v>
      </x:c>
      <x:c r="AH16" t="n">
        <x:f>-(Premissas!$B$53+Premissas!$B$54)</x:f>
        <x:v>-30000</x:v>
      </x:c>
      <x:c r="AI16" t="n">
        <x:f>-(Premissas!$B$53+Premissas!$B$54)</x:f>
        <x:v>-30000</x:v>
      </x:c>
      <x:c r="AJ16" t="n">
        <x:f>-(Premissas!$B$53+Premissas!$B$54)</x:f>
        <x:v>-30000</x:v>
      </x:c>
      <x:c r="AK16" t="n">
        <x:f>-(Premissas!$B$53+Premissas!$B$54)</x:f>
        <x:v>-30000</x:v>
      </x:c>
    </x:row>
    <x:row r="17">
      <x:c r="A17" t="str">
        <x:v>(=) EBITDA</x:v>
      </x:c>
      <x:c r="B17" t="n">
        <x:f>B12+B13+B14+B15+B16</x:f>
        <x:v>-96418.8456</x:v>
      </x:c>
      <x:c r="C17" t="n">
        <x:f>C12+C13+C14+C15+C16</x:f>
        <x:v>-98356.8456</x:v>
      </x:c>
      <x:c r="D17" t="n">
        <x:f>D12+D13+D14+D15+D16</x:f>
        <x:v>-100294.8456</x:v>
      </x:c>
      <x:c r="E17" t="n">
        <x:f>E12+E13+E14+E15+E16</x:f>
        <x:v>-101890.8456</x:v>
      </x:c>
      <x:c r="F17" t="n">
        <x:f>F12+F13+F14+F15+F16</x:f>
        <x:v>-103258.8456</x:v>
      </x:c>
      <x:c r="G17" t="n">
        <x:f>G12+G13+G14+G15+G16</x:f>
        <x:v>-104626.8456</x:v>
      </x:c>
      <x:c r="H17" t="n">
        <x:f>H12+H13+H14+H15+H16</x:f>
        <x:v>-104626.8456</x:v>
      </x:c>
      <x:c r="I17" t="n">
        <x:f>I12+I13+I14+I15+I16</x:f>
        <x:v>-104626.8456</x:v>
      </x:c>
      <x:c r="J17" t="n">
        <x:f>J12+J13+J14+J15+J16</x:f>
        <x:v>-104626.8456</x:v>
      </x:c>
      <x:c r="K17" t="n">
        <x:f>K12+K13+K14+K15+K16</x:f>
        <x:v>-104626.8456</x:v>
      </x:c>
      <x:c r="L17" t="n">
        <x:f>L12+L13+L14+L15+L16</x:f>
        <x:v>-104626.8456</x:v>
      </x:c>
      <x:c r="M17" t="n">
        <x:f>M12+M13+M14+M15+M16</x:f>
        <x:v>-104626.8456</x:v>
      </x:c>
      <x:c r="N17" t="n">
        <x:f>N12+N13+N14+N15+N16</x:f>
        <x:v>-104626.8456</x:v>
      </x:c>
      <x:c r="O17" t="n">
        <x:f>O12+O13+O14+O15+O16</x:f>
        <x:v>-104626.8456</x:v>
      </x:c>
      <x:c r="P17" t="n">
        <x:f>P12+P13+P14+P15+P16</x:f>
        <x:v>-104626.8456</x:v>
      </x:c>
      <x:c r="Q17" t="n">
        <x:f>Q12+Q13+Q14+Q15+Q16</x:f>
        <x:v>-104626.8456</x:v>
      </x:c>
      <x:c r="R17" t="n">
        <x:f>R12+R13+R14+R15+R16</x:f>
        <x:v>-104626.8456</x:v>
      </x:c>
      <x:c r="S17" t="n">
        <x:f>S12+S13+S14+S15+S16</x:f>
        <x:v>-104626.8456</x:v>
      </x:c>
      <x:c r="T17" t="n">
        <x:f>T12+T13+T14+T15+T16</x:f>
        <x:v>-104626.8456</x:v>
      </x:c>
      <x:c r="U17" t="n">
        <x:f>U12+U13+U14+U15+U16</x:f>
        <x:v>-104626.8456</x:v>
      </x:c>
      <x:c r="V17" t="n">
        <x:f>V12+V13+V14+V15+V16</x:f>
        <x:v>-104626.8456</x:v>
      </x:c>
      <x:c r="W17" t="n">
        <x:f>W12+W13+W14+W15+W16</x:f>
        <x:v>-104626.8456</x:v>
      </x:c>
      <x:c r="X17" t="n">
        <x:f>X12+X13+X14+X15+X16</x:f>
        <x:v>-104626.8456</x:v>
      </x:c>
      <x:c r="Y17" t="n">
        <x:f>Y12+Y13+Y14+Y15+Y16</x:f>
        <x:v>-104626.8456</x:v>
      </x:c>
      <x:c r="Z17" t="n">
        <x:f>Z12+Z13+Z14+Z15+Z16</x:f>
        <x:v>-104626.8456</x:v>
      </x:c>
      <x:c r="AA17" t="n">
        <x:f>AA12+AA13+AA14+AA15+AA16</x:f>
        <x:v>-104626.8456</x:v>
      </x:c>
      <x:c r="AB17" t="n">
        <x:f>AB12+AB13+AB14+AB15+AB16</x:f>
        <x:v>-104626.8456</x:v>
      </x:c>
      <x:c r="AC17" t="n">
        <x:f>AC12+AC13+AC14+AC15+AC16</x:f>
        <x:v>-104626.8456</x:v>
      </x:c>
      <x:c r="AD17" t="n">
        <x:f>AD12+AD13+AD14+AD15+AD16</x:f>
        <x:v>-104626.8456</x:v>
      </x:c>
      <x:c r="AE17" t="n">
        <x:f>AE12+AE13+AE14+AE15+AE16</x:f>
        <x:v>-104626.8456</x:v>
      </x:c>
      <x:c r="AF17" t="n">
        <x:f>AF12+AF13+AF14+AF15+AF16</x:f>
        <x:v>-104626.8456</x:v>
      </x:c>
      <x:c r="AG17" t="n">
        <x:f>AG12+AG13+AG14+AG15+AG16</x:f>
        <x:v>-104626.8456</x:v>
      </x:c>
      <x:c r="AH17" t="n">
        <x:f>AH12+AH13+AH14+AH15+AH16</x:f>
        <x:v>-104626.8456</x:v>
      </x:c>
      <x:c r="AI17" t="n">
        <x:f>AI12+AI13+AI14+AI15+AI16</x:f>
        <x:v>-104626.8456</x:v>
      </x:c>
      <x:c r="AJ17" t="n">
        <x:f>AJ12+AJ13+AJ14+AJ15+AJ16</x:f>
        <x:v>-104626.8456</x:v>
      </x:c>
      <x:c r="AK17" t="n">
        <x:f>AK12+AK13+AK14+AK15+AK16</x:f>
        <x:v>-104626.8456</x:v>
      </x:c>
    </x:row>
    <x:row r="18">
      <x:c r="A18" t="str">
        <x:v>(-) Depreciação</x:v>
      </x:c>
      <x:c r="B18" t="n">
        <x:f>0</x:f>
        <x:v>0</x:v>
      </x:c>
      <x:c r="C18" t="n">
        <x:f>0</x:f>
        <x:v>0</x:v>
      </x:c>
      <x:c r="D18" t="n">
        <x:f>0</x:f>
        <x:v>0</x:v>
      </x:c>
      <x:c r="E18" t="n">
        <x:f>0</x:f>
        <x:v>0</x:v>
      </x:c>
      <x:c r="F18" t="n">
        <x:f>0</x:f>
        <x:v>0</x:v>
      </x:c>
      <x:c r="G18" t="n">
        <x:f>0</x:f>
        <x:v>0</x:v>
      </x:c>
      <x:c r="H18" t="n">
        <x:f>0</x:f>
        <x:v>0</x:v>
      </x:c>
      <x:c r="I18" t="n">
        <x:f>0</x:f>
        <x:v>0</x:v>
      </x:c>
      <x:c r="J18" t="n">
        <x:f>0</x:f>
        <x:v>0</x:v>
      </x:c>
      <x:c r="K18" t="n">
        <x:f>0</x:f>
        <x:v>0</x:v>
      </x:c>
      <x:c r="L18" t="n">
        <x:f>0</x:f>
        <x:v>0</x:v>
      </x:c>
      <x:c r="M18" t="n">
        <x:f>0</x:f>
        <x:v>0</x:v>
      </x:c>
      <x:c r="N18" t="n">
        <x:f>0</x:f>
        <x:v>0</x:v>
      </x:c>
      <x:c r="O18" t="n">
        <x:f>0</x:f>
        <x:v>0</x:v>
      </x:c>
      <x:c r="P18" t="n">
        <x:f>0</x:f>
        <x:v>0</x:v>
      </x:c>
      <x:c r="Q18" t="n">
        <x:f>0</x:f>
        <x:v>0</x:v>
      </x:c>
      <x:c r="R18" t="n">
        <x:f>0</x:f>
        <x:v>0</x:v>
      </x:c>
      <x:c r="S18" t="n">
        <x:f>0</x:f>
        <x:v>0</x:v>
      </x:c>
      <x:c r="T18" t="n">
        <x:f>0</x:f>
        <x:v>0</x:v>
      </x:c>
      <x:c r="U18" t="n">
        <x:f>0</x:f>
        <x:v>0</x:v>
      </x:c>
      <x:c r="V18" t="n">
        <x:f>0</x:f>
        <x:v>0</x:v>
      </x:c>
      <x:c r="W18" t="n">
        <x:f>0</x:f>
        <x:v>0</x:v>
      </x:c>
      <x:c r="X18" t="n">
        <x:f>0</x:f>
        <x:v>0</x:v>
      </x:c>
      <x:c r="Y18" t="n">
        <x:f>0</x:f>
        <x:v>0</x:v>
      </x:c>
      <x:c r="Z18" t="n">
        <x:f>0</x:f>
        <x:v>0</x:v>
      </x:c>
      <x:c r="AA18" t="n">
        <x:f>0</x:f>
        <x:v>0</x:v>
      </x:c>
      <x:c r="AB18" t="n">
        <x:f>0</x:f>
        <x:v>0</x:v>
      </x:c>
      <x:c r="AC18" t="n">
        <x:f>0</x:f>
        <x:v>0</x:v>
      </x:c>
      <x:c r="AD18" t="n">
        <x:f>0</x:f>
        <x:v>0</x:v>
      </x:c>
      <x:c r="AE18" t="n">
        <x:f>0</x:f>
        <x:v>0</x:v>
      </x:c>
      <x:c r="AF18" t="n">
        <x:f>0</x:f>
        <x:v>0</x:v>
      </x:c>
      <x:c r="AG18" t="n">
        <x:f>0</x:f>
        <x:v>0</x:v>
      </x:c>
      <x:c r="AH18" t="n">
        <x:f>0</x:f>
        <x:v>0</x:v>
      </x:c>
      <x:c r="AI18" t="n">
        <x:f>0</x:f>
        <x:v>0</x:v>
      </x:c>
      <x:c r="AJ18" t="n">
        <x:f>0</x:f>
        <x:v>0</x:v>
      </x:c>
      <x:c r="AK18" t="n">
        <x:f>0</x:f>
        <x:v>0</x:v>
      </x:c>
    </x:row>
    <x:row r="19">
      <x:c r="A19" t="str">
        <x:v>(=) EBIT</x:v>
      </x:c>
      <x:c r="B19" t="n">
        <x:f>B17+B18</x:f>
        <x:v>-96418.8456</x:v>
      </x:c>
      <x:c r="C19" t="n">
        <x:f>C17+C18</x:f>
        <x:v>-98356.8456</x:v>
      </x:c>
      <x:c r="D19" t="n">
        <x:f>D17+D18</x:f>
        <x:v>-100294.8456</x:v>
      </x:c>
      <x:c r="E19" t="n">
        <x:f>E17+E18</x:f>
        <x:v>-101890.8456</x:v>
      </x:c>
      <x:c r="F19" t="n">
        <x:f>F17+F18</x:f>
        <x:v>-103258.8456</x:v>
      </x:c>
      <x:c r="G19" t="n">
        <x:f>G17+G18</x:f>
        <x:v>-104626.8456</x:v>
      </x:c>
      <x:c r="H19" t="n">
        <x:f>H17+H18</x:f>
        <x:v>-104626.8456</x:v>
      </x:c>
      <x:c r="I19" t="n">
        <x:f>I17+I18</x:f>
        <x:v>-104626.8456</x:v>
      </x:c>
      <x:c r="J19" t="n">
        <x:f>J17+J18</x:f>
        <x:v>-104626.8456</x:v>
      </x:c>
      <x:c r="K19" t="n">
        <x:f>K17+K18</x:f>
        <x:v>-104626.8456</x:v>
      </x:c>
      <x:c r="L19" t="n">
        <x:f>L17+L18</x:f>
        <x:v>-104626.8456</x:v>
      </x:c>
      <x:c r="M19" t="n">
        <x:f>M17+M18</x:f>
        <x:v>-104626.8456</x:v>
      </x:c>
      <x:c r="N19" t="n">
        <x:f>N17+N18</x:f>
        <x:v>-104626.8456</x:v>
      </x:c>
      <x:c r="O19" t="n">
        <x:f>O17+O18</x:f>
        <x:v>-104626.8456</x:v>
      </x:c>
      <x:c r="P19" t="n">
        <x:f>P17+P18</x:f>
        <x:v>-104626.8456</x:v>
      </x:c>
      <x:c r="Q19" t="n">
        <x:f>Q17+Q18</x:f>
        <x:v>-104626.8456</x:v>
      </x:c>
      <x:c r="R19" t="n">
        <x:f>R17+R18</x:f>
        <x:v>-104626.8456</x:v>
      </x:c>
      <x:c r="S19" t="n">
        <x:f>S17+S18</x:f>
        <x:v>-104626.8456</x:v>
      </x:c>
      <x:c r="T19" t="n">
        <x:f>T17+T18</x:f>
        <x:v>-104626.8456</x:v>
      </x:c>
      <x:c r="U19" t="n">
        <x:f>U17+U18</x:f>
        <x:v>-104626.8456</x:v>
      </x:c>
      <x:c r="V19" t="n">
        <x:f>V17+V18</x:f>
        <x:v>-104626.8456</x:v>
      </x:c>
      <x:c r="W19" t="n">
        <x:f>W17+W18</x:f>
        <x:v>-104626.8456</x:v>
      </x:c>
      <x:c r="X19" t="n">
        <x:f>X17+X18</x:f>
        <x:v>-104626.8456</x:v>
      </x:c>
      <x:c r="Y19" t="n">
        <x:f>Y17+Y18</x:f>
        <x:v>-104626.8456</x:v>
      </x:c>
      <x:c r="Z19" t="n">
        <x:f>Z17+Z18</x:f>
        <x:v>-104626.8456</x:v>
      </x:c>
      <x:c r="AA19" t="n">
        <x:f>AA17+AA18</x:f>
        <x:v>-104626.8456</x:v>
      </x:c>
      <x:c r="AB19" t="n">
        <x:f>AB17+AB18</x:f>
        <x:v>-104626.8456</x:v>
      </x:c>
      <x:c r="AC19" t="n">
        <x:f>AC17+AC18</x:f>
        <x:v>-104626.8456</x:v>
      </x:c>
      <x:c r="AD19" t="n">
        <x:f>AD17+AD18</x:f>
        <x:v>-104626.8456</x:v>
      </x:c>
      <x:c r="AE19" t="n">
        <x:f>AE17+AE18</x:f>
        <x:v>-104626.8456</x:v>
      </x:c>
      <x:c r="AF19" t="n">
        <x:f>AF17+AF18</x:f>
        <x:v>-104626.8456</x:v>
      </x:c>
      <x:c r="AG19" t="n">
        <x:f>AG17+AG18</x:f>
        <x:v>-104626.8456</x:v>
      </x:c>
      <x:c r="AH19" t="n">
        <x:f>AH17+AH18</x:f>
        <x:v>-104626.8456</x:v>
      </x:c>
      <x:c r="AI19" t="n">
        <x:f>AI17+AI18</x:f>
        <x:v>-104626.8456</x:v>
      </x:c>
      <x:c r="AJ19" t="n">
        <x:f>AJ17+AJ18</x:f>
        <x:v>-104626.8456</x:v>
      </x:c>
      <x:c r="AK19" t="n">
        <x:f>AK17+AK18</x:f>
        <x:v>-104626.8456</x:v>
      </x:c>
    </x:row>
    <x:row r="20">
      <x:c r="A20" t="str">
        <x:v>(+/-) Resultado financeiro</x:v>
      </x:c>
      <x:c r="B20" t="n">
        <x:f>0</x:f>
        <x:v>0</x:v>
      </x:c>
      <x:c r="C20" t="n">
        <x:f>0</x:f>
        <x:v>0</x:v>
      </x:c>
      <x:c r="D20" t="n">
        <x:f>0</x:f>
        <x:v>0</x:v>
      </x:c>
      <x:c r="E20" t="n">
        <x:f>0</x:f>
        <x:v>0</x:v>
      </x:c>
      <x:c r="F20" t="n">
        <x:f>0</x:f>
        <x:v>0</x:v>
      </x:c>
      <x:c r="G20" t="n">
        <x:f>0</x:f>
        <x:v>0</x:v>
      </x:c>
      <x:c r="H20" t="n">
        <x:f>0</x:f>
        <x:v>0</x:v>
      </x:c>
      <x:c r="I20" t="n">
        <x:f>0</x:f>
        <x:v>0</x:v>
      </x:c>
      <x:c r="J20" t="n">
        <x:f>0</x:f>
        <x:v>0</x:v>
      </x:c>
      <x:c r="K20" t="n">
        <x:f>0</x:f>
        <x:v>0</x:v>
      </x:c>
      <x:c r="L20" t="n">
        <x:f>0</x:f>
        <x:v>0</x:v>
      </x:c>
      <x:c r="M20" t="n">
        <x:f>0</x:f>
        <x:v>0</x:v>
      </x:c>
      <x:c r="N20" t="n">
        <x:f>0</x:f>
        <x:v>0</x:v>
      </x:c>
      <x:c r="O20" t="n">
        <x:f>0</x:f>
        <x:v>0</x:v>
      </x:c>
      <x:c r="P20" t="n">
        <x:f>0</x:f>
        <x:v>0</x:v>
      </x:c>
      <x:c r="Q20" t="n">
        <x:f>0</x:f>
        <x:v>0</x:v>
      </x:c>
      <x:c r="R20" t="n">
        <x:f>0</x:f>
        <x:v>0</x:v>
      </x:c>
      <x:c r="S20" t="n">
        <x:f>0</x:f>
        <x:v>0</x:v>
      </x:c>
      <x:c r="T20" t="n">
        <x:f>0</x:f>
        <x:v>0</x:v>
      </x:c>
      <x:c r="U20" t="n">
        <x:f>0</x:f>
        <x:v>0</x:v>
      </x:c>
      <x:c r="V20" t="n">
        <x:f>0</x:f>
        <x:v>0</x:v>
      </x:c>
      <x:c r="W20" t="n">
        <x:f>0</x:f>
        <x:v>0</x:v>
      </x:c>
      <x:c r="X20" t="n">
        <x:f>0</x:f>
        <x:v>0</x:v>
      </x:c>
      <x:c r="Y20" t="n">
        <x:f>0</x:f>
        <x:v>0</x:v>
      </x:c>
      <x:c r="Z20" t="n">
        <x:f>0</x:f>
        <x:v>0</x:v>
      </x:c>
      <x:c r="AA20" t="n">
        <x:f>0</x:f>
        <x:v>0</x:v>
      </x:c>
      <x:c r="AB20" t="n">
        <x:f>0</x:f>
        <x:v>0</x:v>
      </x:c>
      <x:c r="AC20" t="n">
        <x:f>0</x:f>
        <x:v>0</x:v>
      </x:c>
      <x:c r="AD20" t="n">
        <x:f>0</x:f>
        <x:v>0</x:v>
      </x:c>
      <x:c r="AE20" t="n">
        <x:f>0</x:f>
        <x:v>0</x:v>
      </x:c>
      <x:c r="AF20" t="n">
        <x:f>0</x:f>
        <x:v>0</x:v>
      </x:c>
      <x:c r="AG20" t="n">
        <x:f>0</x:f>
        <x:v>0</x:v>
      </x:c>
      <x:c r="AH20" t="n">
        <x:f>0</x:f>
        <x:v>0</x:v>
      </x:c>
      <x:c r="AI20" t="n">
        <x:f>0</x:f>
        <x:v>0</x:v>
      </x:c>
      <x:c r="AJ20" t="n">
        <x:f>0</x:f>
        <x:v>0</x:v>
      </x:c>
      <x:c r="AK20" t="n">
        <x:f>0</x:f>
        <x:v>0</x:v>
      </x:c>
    </x:row>
    <x:row r="21">
      <x:c r="A21" t="str">
        <x:v>(=) LAIR</x:v>
      </x:c>
      <x:c r="B21" t="n">
        <x:f>B19+B20</x:f>
        <x:v>-96418.8456</x:v>
      </x:c>
      <x:c r="C21" t="n">
        <x:f>C19+C20</x:f>
        <x:v>-98356.8456</x:v>
      </x:c>
      <x:c r="D21" t="n">
        <x:f>D19+D20</x:f>
        <x:v>-100294.8456</x:v>
      </x:c>
      <x:c r="E21" t="n">
        <x:f>E19+E20</x:f>
        <x:v>-101890.8456</x:v>
      </x:c>
      <x:c r="F21" t="n">
        <x:f>F19+F20</x:f>
        <x:v>-103258.8456</x:v>
      </x:c>
      <x:c r="G21" t="n">
        <x:f>G19+G20</x:f>
        <x:v>-104626.8456</x:v>
      </x:c>
      <x:c r="H21" t="n">
        <x:f>H19+H20</x:f>
        <x:v>-104626.8456</x:v>
      </x:c>
      <x:c r="I21" t="n">
        <x:f>I19+I20</x:f>
        <x:v>-104626.8456</x:v>
      </x:c>
      <x:c r="J21" t="n">
        <x:f>J19+J20</x:f>
        <x:v>-104626.8456</x:v>
      </x:c>
      <x:c r="K21" t="n">
        <x:f>K19+K20</x:f>
        <x:v>-104626.8456</x:v>
      </x:c>
      <x:c r="L21" t="n">
        <x:f>L19+L20</x:f>
        <x:v>-104626.8456</x:v>
      </x:c>
      <x:c r="M21" t="n">
        <x:f>M19+M20</x:f>
        <x:v>-104626.8456</x:v>
      </x:c>
      <x:c r="N21" t="n">
        <x:f>N19+N20</x:f>
        <x:v>-104626.8456</x:v>
      </x:c>
      <x:c r="O21" t="n">
        <x:f>O19+O20</x:f>
        <x:v>-104626.8456</x:v>
      </x:c>
      <x:c r="P21" t="n">
        <x:f>P19+P20</x:f>
        <x:v>-104626.8456</x:v>
      </x:c>
      <x:c r="Q21" t="n">
        <x:f>Q19+Q20</x:f>
        <x:v>-104626.8456</x:v>
      </x:c>
      <x:c r="R21" t="n">
        <x:f>R19+R20</x:f>
        <x:v>-104626.8456</x:v>
      </x:c>
      <x:c r="S21" t="n">
        <x:f>S19+S20</x:f>
        <x:v>-104626.8456</x:v>
      </x:c>
      <x:c r="T21" t="n">
        <x:f>T19+T20</x:f>
        <x:v>-104626.8456</x:v>
      </x:c>
      <x:c r="U21" t="n">
        <x:f>U19+U20</x:f>
        <x:v>-104626.8456</x:v>
      </x:c>
      <x:c r="V21" t="n">
        <x:f>V19+V20</x:f>
        <x:v>-104626.8456</x:v>
      </x:c>
      <x:c r="W21" t="n">
        <x:f>W19+W20</x:f>
        <x:v>-104626.8456</x:v>
      </x:c>
      <x:c r="X21" t="n">
        <x:f>X19+X20</x:f>
        <x:v>-104626.8456</x:v>
      </x:c>
      <x:c r="Y21" t="n">
        <x:f>Y19+Y20</x:f>
        <x:v>-104626.8456</x:v>
      </x:c>
      <x:c r="Z21" t="n">
        <x:f>Z19+Z20</x:f>
        <x:v>-104626.8456</x:v>
      </x:c>
      <x:c r="AA21" t="n">
        <x:f>AA19+AA20</x:f>
        <x:v>-104626.8456</x:v>
      </x:c>
      <x:c r="AB21" t="n">
        <x:f>AB19+AB20</x:f>
        <x:v>-104626.8456</x:v>
      </x:c>
      <x:c r="AC21" t="n">
        <x:f>AC19+AC20</x:f>
        <x:v>-104626.8456</x:v>
      </x:c>
      <x:c r="AD21" t="n">
        <x:f>AD19+AD20</x:f>
        <x:v>-104626.8456</x:v>
      </x:c>
      <x:c r="AE21" t="n">
        <x:f>AE19+AE20</x:f>
        <x:v>-104626.8456</x:v>
      </x:c>
      <x:c r="AF21" t="n">
        <x:f>AF19+AF20</x:f>
        <x:v>-104626.8456</x:v>
      </x:c>
      <x:c r="AG21" t="n">
        <x:f>AG19+AG20</x:f>
        <x:v>-104626.8456</x:v>
      </x:c>
      <x:c r="AH21" t="n">
        <x:f>AH19+AH20</x:f>
        <x:v>-104626.8456</x:v>
      </x:c>
      <x:c r="AI21" t="n">
        <x:f>AI19+AI20</x:f>
        <x:v>-104626.8456</x:v>
      </x:c>
      <x:c r="AJ21" t="n">
        <x:f>AJ19+AJ20</x:f>
        <x:v>-104626.8456</x:v>
      </x:c>
      <x:c r="AK21" t="n">
        <x:f>AK19+AK20</x:f>
        <x:v>-104626.8456</x:v>
      </x:c>
    </x:row>
    <x:row r="22">
      <x:c r="A22" t="str">
        <x:v>(-) Impostos s/ lucro</x:v>
      </x:c>
      <x:c r="B22" t="n">
        <x:f>-MAX(B21,0)*0</x:f>
        <x:v>0</x:v>
      </x:c>
      <x:c r="C22" t="n">
        <x:f>-MAX(C21,0)*0</x:f>
        <x:v>0</x:v>
      </x:c>
      <x:c r="D22" t="n">
        <x:f>-MAX(D21,0)*0</x:f>
        <x:v>0</x:v>
      </x:c>
      <x:c r="E22" t="n">
        <x:f>-MAX(E21,0)*0</x:f>
        <x:v>0</x:v>
      </x:c>
      <x:c r="F22" t="n">
        <x:f>-MAX(F21,0)*0</x:f>
        <x:v>0</x:v>
      </x:c>
      <x:c r="G22" t="n">
        <x:f>-MAX(G21,0)*0</x:f>
        <x:v>0</x:v>
      </x:c>
      <x:c r="H22" t="n">
        <x:f>-MAX(H21,0)*0</x:f>
        <x:v>0</x:v>
      </x:c>
      <x:c r="I22" t="n">
        <x:f>-MAX(I21,0)*0</x:f>
        <x:v>0</x:v>
      </x:c>
      <x:c r="J22" t="n">
        <x:f>-MAX(J21,0)*0</x:f>
        <x:v>0</x:v>
      </x:c>
      <x:c r="K22" t="n">
        <x:f>-MAX(K21,0)*0</x:f>
        <x:v>0</x:v>
      </x:c>
      <x:c r="L22" t="n">
        <x:f>-MAX(L21,0)*0</x:f>
        <x:v>0</x:v>
      </x:c>
      <x:c r="M22" t="n">
        <x:f>-MAX(M21,0)*0</x:f>
        <x:v>0</x:v>
      </x:c>
      <x:c r="N22" t="n">
        <x:f>-MAX(N21,0)*0</x:f>
        <x:v>0</x:v>
      </x:c>
      <x:c r="O22" t="n">
        <x:f>-MAX(O21,0)*0</x:f>
        <x:v>0</x:v>
      </x:c>
      <x:c r="P22" t="n">
        <x:f>-MAX(P21,0)*0</x:f>
        <x:v>0</x:v>
      </x:c>
      <x:c r="Q22" t="n">
        <x:f>-MAX(Q21,0)*0</x:f>
        <x:v>0</x:v>
      </x:c>
      <x:c r="R22" t="n">
        <x:f>-MAX(R21,0)*0</x:f>
        <x:v>0</x:v>
      </x:c>
      <x:c r="S22" t="n">
        <x:f>-MAX(S21,0)*0</x:f>
        <x:v>0</x:v>
      </x:c>
      <x:c r="T22" t="n">
        <x:f>-MAX(T21,0)*0</x:f>
        <x:v>0</x:v>
      </x:c>
      <x:c r="U22" t="n">
        <x:f>-MAX(U21,0)*0</x:f>
        <x:v>0</x:v>
      </x:c>
      <x:c r="V22" t="n">
        <x:f>-MAX(V21,0)*0</x:f>
        <x:v>0</x:v>
      </x:c>
      <x:c r="W22" t="n">
        <x:f>-MAX(W21,0)*0</x:f>
        <x:v>0</x:v>
      </x:c>
      <x:c r="X22" t="n">
        <x:f>-MAX(X21,0)*0</x:f>
        <x:v>0</x:v>
      </x:c>
      <x:c r="Y22" t="n">
        <x:f>-MAX(Y21,0)*0</x:f>
        <x:v>0</x:v>
      </x:c>
      <x:c r="Z22" t="n">
        <x:f>-MAX(Z21,0)*0</x:f>
        <x:v>0</x:v>
      </x:c>
      <x:c r="AA22" t="n">
        <x:f>-MAX(AA21,0)*0</x:f>
        <x:v>0</x:v>
      </x:c>
      <x:c r="AB22" t="n">
        <x:f>-MAX(AB21,0)*0</x:f>
        <x:v>0</x:v>
      </x:c>
      <x:c r="AC22" t="n">
        <x:f>-MAX(AC21,0)*0</x:f>
        <x:v>0</x:v>
      </x:c>
      <x:c r="AD22" t="n">
        <x:f>-MAX(AD21,0)*0</x:f>
        <x:v>0</x:v>
      </x:c>
      <x:c r="AE22" t="n">
        <x:f>-MAX(AE21,0)*0</x:f>
        <x:v>0</x:v>
      </x:c>
      <x:c r="AF22" t="n">
        <x:f>-MAX(AF21,0)*0</x:f>
        <x:v>0</x:v>
      </x:c>
      <x:c r="AG22" t="n">
        <x:f>-MAX(AG21,0)*0</x:f>
        <x:v>0</x:v>
      </x:c>
      <x:c r="AH22" t="n">
        <x:f>-MAX(AH21,0)*0</x:f>
        <x:v>0</x:v>
      </x:c>
      <x:c r="AI22" t="n">
        <x:f>-MAX(AI21,0)*0</x:f>
        <x:v>0</x:v>
      </x:c>
      <x:c r="AJ22" t="n">
        <x:f>-MAX(AJ21,0)*0</x:f>
        <x:v>0</x:v>
      </x:c>
      <x:c r="AK22" t="n">
        <x:f>-MAX(AK21,0)*0</x:f>
        <x:v>0</x:v>
      </x:c>
    </x:row>
    <x:row r="23">
      <x:c r="A23" t="str">
        <x:v>(=) LUCRO LÍQUIDO</x:v>
      </x:c>
      <x:c r="B23" t="n">
        <x:f>B21+B22</x:f>
        <x:v>-96418.8456</x:v>
      </x:c>
      <x:c r="C23" t="n">
        <x:f>C21+C22</x:f>
        <x:v>-98356.8456</x:v>
      </x:c>
      <x:c r="D23" t="n">
        <x:f>D21+D22</x:f>
        <x:v>-100294.8456</x:v>
      </x:c>
      <x:c r="E23" t="n">
        <x:f>E21+E22</x:f>
        <x:v>-101890.8456</x:v>
      </x:c>
      <x:c r="F23" t="n">
        <x:f>F21+F22</x:f>
        <x:v>-103258.8456</x:v>
      </x:c>
      <x:c r="G23" t="n">
        <x:f>G21+G22</x:f>
        <x:v>-104626.8456</x:v>
      </x:c>
      <x:c r="H23" t="n">
        <x:f>H21+H22</x:f>
        <x:v>-104626.8456</x:v>
      </x:c>
      <x:c r="I23" t="n">
        <x:f>I21+I22</x:f>
        <x:v>-104626.8456</x:v>
      </x:c>
      <x:c r="J23" t="n">
        <x:f>J21+J22</x:f>
        <x:v>-104626.8456</x:v>
      </x:c>
      <x:c r="K23" t="n">
        <x:f>K21+K22</x:f>
        <x:v>-104626.8456</x:v>
      </x:c>
      <x:c r="L23" t="n">
        <x:f>L21+L22</x:f>
        <x:v>-104626.8456</x:v>
      </x:c>
      <x:c r="M23" t="n">
        <x:f>M21+M22</x:f>
        <x:v>-104626.8456</x:v>
      </x:c>
      <x:c r="N23" t="n">
        <x:f>N21+N22</x:f>
        <x:v>-104626.8456</x:v>
      </x:c>
      <x:c r="O23" t="n">
        <x:f>O21+O22</x:f>
        <x:v>-104626.8456</x:v>
      </x:c>
      <x:c r="P23" t="n">
        <x:f>P21+P22</x:f>
        <x:v>-104626.8456</x:v>
      </x:c>
      <x:c r="Q23" t="n">
        <x:f>Q21+Q22</x:f>
        <x:v>-104626.8456</x:v>
      </x:c>
      <x:c r="R23" t="n">
        <x:f>R21+R22</x:f>
        <x:v>-104626.8456</x:v>
      </x:c>
      <x:c r="S23" t="n">
        <x:f>S21+S22</x:f>
        <x:v>-104626.8456</x:v>
      </x:c>
      <x:c r="T23" t="n">
        <x:f>T21+T22</x:f>
        <x:v>-104626.8456</x:v>
      </x:c>
      <x:c r="U23" t="n">
        <x:f>U21+U22</x:f>
        <x:v>-104626.8456</x:v>
      </x:c>
      <x:c r="V23" t="n">
        <x:f>V21+V22</x:f>
        <x:v>-104626.8456</x:v>
      </x:c>
      <x:c r="W23" t="n">
        <x:f>W21+W22</x:f>
        <x:v>-104626.8456</x:v>
      </x:c>
      <x:c r="X23" t="n">
        <x:f>X21+X22</x:f>
        <x:v>-104626.8456</x:v>
      </x:c>
      <x:c r="Y23" t="n">
        <x:f>Y21+Y22</x:f>
        <x:v>-104626.8456</x:v>
      </x:c>
      <x:c r="Z23" t="n">
        <x:f>Z21+Z22</x:f>
        <x:v>-104626.8456</x:v>
      </x:c>
      <x:c r="AA23" t="n">
        <x:f>AA21+AA22</x:f>
        <x:v>-104626.8456</x:v>
      </x:c>
      <x:c r="AB23" t="n">
        <x:f>AB21+AB22</x:f>
        <x:v>-104626.8456</x:v>
      </x:c>
      <x:c r="AC23" t="n">
        <x:f>AC21+AC22</x:f>
        <x:v>-104626.8456</x:v>
      </x:c>
      <x:c r="AD23" t="n">
        <x:f>AD21+AD22</x:f>
        <x:v>-104626.8456</x:v>
      </x:c>
      <x:c r="AE23" t="n">
        <x:f>AE21+AE22</x:f>
        <x:v>-104626.8456</x:v>
      </x:c>
      <x:c r="AF23" t="n">
        <x:f>AF21+AF22</x:f>
        <x:v>-104626.8456</x:v>
      </x:c>
      <x:c r="AG23" t="n">
        <x:f>AG21+AG22</x:f>
        <x:v>-104626.8456</x:v>
      </x:c>
      <x:c r="AH23" t="n">
        <x:f>AH21+AH22</x:f>
        <x:v>-104626.8456</x:v>
      </x:c>
      <x:c r="AI23" t="n">
        <x:f>AI21+AI22</x:f>
        <x:v>-104626.8456</x:v>
      </x:c>
      <x:c r="AJ23" t="n">
        <x:f>AJ21+AJ22</x:f>
        <x:v>-104626.8456</x:v>
      </x:c>
      <x:c r="AK23" t="n">
        <x:f>AK21+AK22</x:f>
        <x:v>-104626.8456</x:v>
      </x:c>
    </x:row>
    <x:row r="24">
      <x:c r="A24" t="str">
        <x:v>Margem líquida %</x:v>
      </x:c>
      <x:c r="B24" s="2" t="n">
        <x:f>IF(B7=0,0,B23/B7)</x:f>
        <x:v>-1.7160633569206771</x:v>
      </x:c>
      <x:c r="C24" s="2" t="n">
        <x:f>IF(C7=0,0,C23/C7)</x:f>
        <x:v>-0.8030043777061854</x:v>
      </x:c>
      <x:c r="D24" s="2" t="n">
        <x:f>IF(D7=0,0,D23/D7)</x:f>
        <x:v>-0.5312619134853089</x:v>
      </x:c>
      <x:c r="E24" s="2" t="n">
        <x:f>IF(E7=0,0,E23/E7)</x:f>
        <x:v>-0.41863878286802814</x:v>
      </x:c>
      <x:c r="F24" s="2" t="n">
        <x:f>IF(F7=0,0,F23/F7)</x:f>
        <x:v>-0.3558366800136894</x:v>
      </x:c>
      <x:c r="G24" s="2" t="n">
        <x:f>IF(G7=0,0,G23/G7)</x:f>
        <x:v>-0.31047825645395233</x:v>
      </x:c>
      <x:c r="H24" s="2" t="n">
        <x:f>IF(H7=0,0,H23/H7)</x:f>
        <x:v>-0.31047825645395233</x:v>
      </x:c>
      <x:c r="I24" s="2" t="n">
        <x:f>IF(I7=0,0,I23/I7)</x:f>
        <x:v>-0.31047825645395233</x:v>
      </x:c>
      <x:c r="J24" s="2" t="n">
        <x:f>IF(J7=0,0,J23/J7)</x:f>
        <x:v>-0.31047825645395233</x:v>
      </x:c>
      <x:c r="K24" s="2" t="n">
        <x:f>IF(K7=0,0,K23/K7)</x:f>
        <x:v>-0.31047825645395233</x:v>
      </x:c>
      <x:c r="L24" s="2" t="n">
        <x:f>IF(L7=0,0,L23/L7)</x:f>
        <x:v>-0.31047825645395233</x:v>
      </x:c>
      <x:c r="M24" s="2" t="n">
        <x:f>IF(M7=0,0,M23/M7)</x:f>
        <x:v>-0.31047825645395233</x:v>
      </x:c>
      <x:c r="N24" s="2" t="n">
        <x:f>IF(N7=0,0,N23/N7)</x:f>
        <x:v>-0.31047825645395233</x:v>
      </x:c>
      <x:c r="O24" s="2" t="n">
        <x:f>IF(O7=0,0,O23/O7)</x:f>
        <x:v>-0.31047825645395233</x:v>
      </x:c>
      <x:c r="P24" s="2" t="n">
        <x:f>IF(P7=0,0,P23/P7)</x:f>
        <x:v>-0.31047825645395233</x:v>
      </x:c>
      <x:c r="Q24" s="2" t="n">
        <x:f>IF(Q7=0,0,Q23/Q7)</x:f>
        <x:v>-0.31047825645395233</x:v>
      </x:c>
      <x:c r="R24" s="2" t="n">
        <x:f>IF(R7=0,0,R23/R7)</x:f>
        <x:v>-0.31047825645395233</x:v>
      </x:c>
      <x:c r="S24" s="2" t="n">
        <x:f>IF(S7=0,0,S23/S7)</x:f>
        <x:v>-0.31047825645395233</x:v>
      </x:c>
      <x:c r="T24" s="2" t="n">
        <x:f>IF(T7=0,0,T23/T7)</x:f>
        <x:v>-0.31047825645395233</x:v>
      </x:c>
      <x:c r="U24" s="2" t="n">
        <x:f>IF(U7=0,0,U23/U7)</x:f>
        <x:v>-0.31047825645395233</x:v>
      </x:c>
      <x:c r="V24" s="2" t="n">
        <x:f>IF(V7=0,0,V23/V7)</x:f>
        <x:v>-0.31047825645395233</x:v>
      </x:c>
      <x:c r="W24" s="2" t="n">
        <x:f>IF(W7=0,0,W23/W7)</x:f>
        <x:v>-0.31047825645395233</x:v>
      </x:c>
      <x:c r="X24" s="2" t="n">
        <x:f>IF(X7=0,0,X23/X7)</x:f>
        <x:v>-0.31047825645395233</x:v>
      </x:c>
      <x:c r="Y24" s="2" t="n">
        <x:f>IF(Y7=0,0,Y23/Y7)</x:f>
        <x:v>-0.31047825645395233</x:v>
      </x:c>
      <x:c r="Z24" s="2" t="n">
        <x:f>IF(Z7=0,0,Z23/Z7)</x:f>
        <x:v>-0.31047825645395233</x:v>
      </x:c>
      <x:c r="AA24" s="2" t="n">
        <x:f>IF(AA7=0,0,AA23/AA7)</x:f>
        <x:v>-0.31047825645395233</x:v>
      </x:c>
      <x:c r="AB24" s="2" t="n">
        <x:f>IF(AB7=0,0,AB23/AB7)</x:f>
        <x:v>-0.31047825645395233</x:v>
      </x:c>
      <x:c r="AC24" s="2" t="n">
        <x:f>IF(AC7=0,0,AC23/AC7)</x:f>
        <x:v>-0.31047825645395233</x:v>
      </x:c>
      <x:c r="AD24" s="2" t="n">
        <x:f>IF(AD7=0,0,AD23/AD7)</x:f>
        <x:v>-0.31047825645395233</x:v>
      </x:c>
      <x:c r="AE24" s="2" t="n">
        <x:f>IF(AE7=0,0,AE23/AE7)</x:f>
        <x:v>-0.31047825645395233</x:v>
      </x:c>
      <x:c r="AF24" s="2" t="n">
        <x:f>IF(AF7=0,0,AF23/AF7)</x:f>
        <x:v>-0.31047825645395233</x:v>
      </x:c>
      <x:c r="AG24" s="2" t="n">
        <x:f>IF(AG7=0,0,AG23/AG7)</x:f>
        <x:v>-0.31047825645395233</x:v>
      </x:c>
      <x:c r="AH24" s="2" t="n">
        <x:f>IF(AH7=0,0,AH23/AH7)</x:f>
        <x:v>-0.31047825645395233</x:v>
      </x:c>
      <x:c r="AI24" s="2" t="n">
        <x:f>IF(AI7=0,0,AI23/AI7)</x:f>
        <x:v>-0.31047825645395233</x:v>
      </x:c>
      <x:c r="AJ24" s="2" t="n">
        <x:f>IF(AJ7=0,0,AJ23/AJ7)</x:f>
        <x:v>-0.31047825645395233</x:v>
      </x:c>
      <x:c r="AK24" s="2" t="n">
        <x:f>IF(AK7=0,0,AK23/AK7)</x:f>
        <x:v>-0.31047825645395233</x:v>
      </x:c>
    </x:row>
  </x:sheetData>
  <x:mergeCells>
    <x:mergeCell ref="A1:A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cols>
    <x:col min="1" max="1" width="34.83203125" customWidth="1"/>
    <x:col min="2" max="2" width="11.83203125" customWidth="1"/>
    <x:col min="3" max="3" width="11.83203125" customWidth="1"/>
    <x:col min="4" max="4" width="11.83203125" customWidth="1"/>
    <x:col min="5" max="5" width="11.83203125" customWidth="1"/>
    <x:col min="6" max="6" width="11.83203125" customWidth="1"/>
    <x:col min="7" max="7" width="11.83203125" customWidth="1"/>
    <x:col min="8" max="8" width="11.83203125" customWidth="1"/>
    <x:col min="9" max="9" width="11.83203125" customWidth="1"/>
    <x:col min="10" max="10" width="11.83203125" customWidth="1"/>
    <x:col min="11" max="11" width="11.83203125" customWidth="1"/>
    <x:col min="12" max="12" width="11.83203125" customWidth="1"/>
    <x:col min="13" max="13" width="11.83203125" customWidth="1"/>
    <x:col min="14" max="14" width="11.83203125" customWidth="1"/>
    <x:col min="15" max="15" width="11.83203125" customWidth="1"/>
    <x:col min="16" max="16" width="11.83203125" customWidth="1"/>
    <x:col min="17" max="17" width="11.83203125" customWidth="1"/>
    <x:col min="18" max="18" width="11.83203125" customWidth="1"/>
    <x:col min="19" max="19" width="11.83203125" customWidth="1"/>
    <x:col min="20" max="20" width="11.83203125" customWidth="1"/>
    <x:col min="21" max="21" width="11.83203125" customWidth="1"/>
    <x:col min="22" max="22" width="11.83203125" customWidth="1"/>
    <x:col min="23" max="23" width="11.83203125" customWidth="1"/>
    <x:col min="24" max="24" width="11.83203125" customWidth="1"/>
    <x:col min="25" max="25" width="11.83203125" customWidth="1"/>
    <x:col min="26" max="26" width="11.83203125" customWidth="1"/>
    <x:col min="27" max="27" width="11.83203125" customWidth="1"/>
    <x:col min="28" max="28" width="11.83203125" customWidth="1"/>
    <x:col min="29" max="29" width="11.83203125" customWidth="1"/>
    <x:col min="30" max="30" width="11.83203125" customWidth="1"/>
    <x:col min="31" max="31" width="11.83203125" customWidth="1"/>
    <x:col min="32" max="32" width="11.83203125" customWidth="1"/>
    <x:col min="33" max="33" width="11.83203125" customWidth="1"/>
    <x:col min="34" max="34" width="11.83203125" customWidth="1"/>
    <x:col min="35" max="35" width="11.83203125" customWidth="1"/>
    <x:col min="36" max="36" width="11.83203125" customWidth="1"/>
    <x:col min="37" max="37" width="11.83203125" customWidth="1"/>
  </x:cols>
  <x:sheetData>
    <x:row r="1">
      <x:c r="A1" t="str">
        <x:v>FLUXO DE CAIXA — 36 MESES (R$)</x:v>
      </x:c>
    </x:row>
    <x:row r="2">
      <x:c r="A2" t="str">
        <x:v>Linha</x:v>
      </x:c>
      <x:c r="B2" t="str">
        <x:v>M1</x:v>
      </x:c>
      <x:c r="C2" t="str">
        <x:v>M2</x:v>
      </x:c>
      <x:c r="D2" t="str">
        <x:v>M3</x:v>
      </x:c>
      <x:c r="E2" t="str">
        <x:v>M4</x:v>
      </x:c>
      <x:c r="F2" t="str">
        <x:v>M5</x:v>
      </x:c>
      <x:c r="G2" t="str">
        <x:v>M6</x:v>
      </x:c>
      <x:c r="H2" t="str">
        <x:v>M7</x:v>
      </x:c>
      <x:c r="I2" t="str">
        <x:v>M8</x:v>
      </x:c>
      <x:c r="J2" t="str">
        <x:v>M9</x:v>
      </x:c>
      <x:c r="K2" t="str">
        <x:v>M10</x:v>
      </x:c>
      <x:c r="L2" t="str">
        <x:v>M11</x:v>
      </x:c>
      <x:c r="M2" t="str">
        <x:v>M12</x:v>
      </x:c>
      <x:c r="N2" t="str">
        <x:v>M13</x:v>
      </x:c>
      <x:c r="O2" t="str">
        <x:v>M14</x:v>
      </x:c>
      <x:c r="P2" t="str">
        <x:v>M15</x:v>
      </x:c>
      <x:c r="Q2" t="str">
        <x:v>M16</x:v>
      </x:c>
      <x:c r="R2" t="str">
        <x:v>M17</x:v>
      </x:c>
      <x:c r="S2" t="str">
        <x:v>M18</x:v>
      </x:c>
      <x:c r="T2" t="str">
        <x:v>M19</x:v>
      </x:c>
      <x:c r="U2" t="str">
        <x:v>M20</x:v>
      </x:c>
      <x:c r="V2" t="str">
        <x:v>M21</x:v>
      </x:c>
      <x:c r="W2" t="str">
        <x:v>M22</x:v>
      </x:c>
      <x:c r="X2" t="str">
        <x:v>M23</x:v>
      </x:c>
      <x:c r="Y2" t="str">
        <x:v>M24</x:v>
      </x:c>
      <x:c r="Z2" t="str">
        <x:v>M25</x:v>
      </x:c>
      <x:c r="AA2" t="str">
        <x:v>M26</x:v>
      </x:c>
      <x:c r="AB2" t="str">
        <x:v>M27</x:v>
      </x:c>
      <x:c r="AC2" t="str">
        <x:v>M28</x:v>
      </x:c>
      <x:c r="AD2" t="str">
        <x:v>M29</x:v>
      </x:c>
      <x:c r="AE2" t="str">
        <x:v>M30</x:v>
      </x:c>
      <x:c r="AF2" t="str">
        <x:v>M31</x:v>
      </x:c>
      <x:c r="AG2" t="str">
        <x:v>M32</x:v>
      </x:c>
      <x:c r="AH2" t="str">
        <x:v>M33</x:v>
      </x:c>
      <x:c r="AI2" t="str">
        <x:v>M34</x:v>
      </x:c>
      <x:c r="AJ2" t="str">
        <x:v>M35</x:v>
      </x:c>
      <x:c r="AK2" t="str">
        <x:v>M36</x:v>
      </x:c>
    </x:row>
    <x:row r="3">
      <x:c r="A3" t="str">
        <x:v>(+) Entradas (rec. líquida)</x:v>
      </x:c>
      <x:c r="B3" t="n">
        <x:f>DRE!B9</x:f>
        <x:v>47758.1544</x:v>
      </x:c>
      <x:c r="C3" t="n">
        <x:f>DRE!C9</x:f>
        <x:v>104113.1544</x:v>
      </x:c>
      <x:c r="D3" t="n">
        <x:f>DRE!D9</x:f>
        <x:v>160468.1544</x:v>
      </x:c>
      <x:c r="E3" t="n">
        <x:f>DRE!E9</x:f>
        <x:v>206878.1544</x:v>
      </x:c>
      <x:c r="F3" t="n">
        <x:f>DRE!F9</x:f>
        <x:v>246658.1544</x:v>
      </x:c>
      <x:c r="G3" t="n">
        <x:f>DRE!G9</x:f>
        <x:v>286438.1544</x:v>
      </x:c>
      <x:c r="H3" t="n">
        <x:f>DRE!H9</x:f>
        <x:v>286438.1544</x:v>
      </x:c>
      <x:c r="I3" t="n">
        <x:f>DRE!I9</x:f>
        <x:v>286438.1544</x:v>
      </x:c>
      <x:c r="J3" t="n">
        <x:f>DRE!J9</x:f>
        <x:v>286438.1544</x:v>
      </x:c>
      <x:c r="K3" t="n">
        <x:f>DRE!K9</x:f>
        <x:v>286438.1544</x:v>
      </x:c>
      <x:c r="L3" t="n">
        <x:f>DRE!L9</x:f>
        <x:v>286438.1544</x:v>
      </x:c>
      <x:c r="M3" t="n">
        <x:f>DRE!M9</x:f>
        <x:v>286438.1544</x:v>
      </x:c>
      <x:c r="N3" t="n">
        <x:f>DRE!N9</x:f>
        <x:v>286438.1544</x:v>
      </x:c>
      <x:c r="O3" t="n">
        <x:f>DRE!O9</x:f>
        <x:v>286438.1544</x:v>
      </x:c>
      <x:c r="P3" t="n">
        <x:f>DRE!P9</x:f>
        <x:v>286438.1544</x:v>
      </x:c>
      <x:c r="Q3" t="n">
        <x:f>DRE!Q9</x:f>
        <x:v>286438.1544</x:v>
      </x:c>
      <x:c r="R3" t="n">
        <x:f>DRE!R9</x:f>
        <x:v>286438.1544</x:v>
      </x:c>
      <x:c r="S3" t="n">
        <x:f>DRE!S9</x:f>
        <x:v>286438.1544</x:v>
      </x:c>
      <x:c r="T3" t="n">
        <x:f>DRE!T9</x:f>
        <x:v>286438.1544</x:v>
      </x:c>
      <x:c r="U3" t="n">
        <x:f>DRE!U9</x:f>
        <x:v>286438.1544</x:v>
      </x:c>
      <x:c r="V3" t="n">
        <x:f>DRE!V9</x:f>
        <x:v>286438.1544</x:v>
      </x:c>
      <x:c r="W3" t="n">
        <x:f>DRE!W9</x:f>
        <x:v>286438.1544</x:v>
      </x:c>
      <x:c r="X3" t="n">
        <x:f>DRE!X9</x:f>
        <x:v>286438.1544</x:v>
      </x:c>
      <x:c r="Y3" t="n">
        <x:f>DRE!Y9</x:f>
        <x:v>286438.1544</x:v>
      </x:c>
      <x:c r="Z3" t="n">
        <x:f>DRE!Z9</x:f>
        <x:v>286438.1544</x:v>
      </x:c>
      <x:c r="AA3" t="n">
        <x:f>DRE!AA9</x:f>
        <x:v>286438.1544</x:v>
      </x:c>
      <x:c r="AB3" t="n">
        <x:f>DRE!AB9</x:f>
        <x:v>286438.1544</x:v>
      </x:c>
      <x:c r="AC3" t="n">
        <x:f>DRE!AC9</x:f>
        <x:v>286438.1544</x:v>
      </x:c>
      <x:c r="AD3" t="n">
        <x:f>DRE!AD9</x:f>
        <x:v>286438.1544</x:v>
      </x:c>
      <x:c r="AE3" t="n">
        <x:f>DRE!AE9</x:f>
        <x:v>286438.1544</x:v>
      </x:c>
      <x:c r="AF3" t="n">
        <x:f>DRE!AF9</x:f>
        <x:v>286438.1544</x:v>
      </x:c>
      <x:c r="AG3" t="n">
        <x:f>DRE!AG9</x:f>
        <x:v>286438.1544</x:v>
      </x:c>
      <x:c r="AH3" t="n">
        <x:f>DRE!AH9</x:f>
        <x:v>286438.1544</x:v>
      </x:c>
      <x:c r="AI3" t="n">
        <x:f>DRE!AI9</x:f>
        <x:v>286438.1544</x:v>
      </x:c>
      <x:c r="AJ3" t="n">
        <x:f>DRE!AJ9</x:f>
        <x:v>286438.1544</x:v>
      </x:c>
      <x:c r="AK3" t="n">
        <x:f>DRE!AK9</x:f>
        <x:v>286438.1544</x:v>
      </x:c>
    </x:row>
    <x:row r="4">
      <x:c r="A4" t="str">
        <x:v>(-) Saídas (custos+desp.)</x:v>
      </x:c>
      <x:c r="B4" t="n">
        <x:f>DRE!B10+DRE!B11+DRE!B13+DRE!B14+DRE!B15+DRE!B16</x:f>
        <x:v>-144177</x:v>
      </x:c>
      <x:c r="C4" t="n">
        <x:f>DRE!C10+DRE!C11+DRE!C13+DRE!C14+DRE!C15+DRE!C16</x:f>
        <x:v>-202470</x:v>
      </x:c>
      <x:c r="D4" t="n">
        <x:f>DRE!D10+DRE!D11+DRE!D13+DRE!D14+DRE!D15+DRE!D16</x:f>
        <x:v>-260763</x:v>
      </x:c>
      <x:c r="E4" t="n">
        <x:f>DRE!E10+DRE!E11+DRE!E13+DRE!E14+DRE!E15+DRE!E16</x:f>
        <x:v>-308769</x:v>
      </x:c>
      <x:c r="F4" t="n">
        <x:f>DRE!F10+DRE!F11+DRE!F13+DRE!F14+DRE!F15+DRE!F16</x:f>
        <x:v>-349917</x:v>
      </x:c>
      <x:c r="G4" t="n">
        <x:f>DRE!G10+DRE!G11+DRE!G13+DRE!G14+DRE!G15+DRE!G16</x:f>
        <x:v>-391065</x:v>
      </x:c>
      <x:c r="H4" t="n">
        <x:f>DRE!H10+DRE!H11+DRE!H13+DRE!H14+DRE!H15+DRE!H16</x:f>
        <x:v>-391065</x:v>
      </x:c>
      <x:c r="I4" t="n">
        <x:f>DRE!I10+DRE!I11+DRE!I13+DRE!I14+DRE!I15+DRE!I16</x:f>
        <x:v>-391065</x:v>
      </x:c>
      <x:c r="J4" t="n">
        <x:f>DRE!J10+DRE!J11+DRE!J13+DRE!J14+DRE!J15+DRE!J16</x:f>
        <x:v>-391065</x:v>
      </x:c>
      <x:c r="K4" t="n">
        <x:f>DRE!K10+DRE!K11+DRE!K13+DRE!K14+DRE!K15+DRE!K16</x:f>
        <x:v>-391065</x:v>
      </x:c>
      <x:c r="L4" t="n">
        <x:f>DRE!L10+DRE!L11+DRE!L13+DRE!L14+DRE!L15+DRE!L16</x:f>
        <x:v>-391065</x:v>
      </x:c>
      <x:c r="M4" t="n">
        <x:f>DRE!M10+DRE!M11+DRE!M13+DRE!M14+DRE!M15+DRE!M16</x:f>
        <x:v>-391065</x:v>
      </x:c>
      <x:c r="N4" t="n">
        <x:f>DRE!N10+DRE!N11+DRE!N13+DRE!N14+DRE!N15+DRE!N16</x:f>
        <x:v>-391065</x:v>
      </x:c>
      <x:c r="O4" t="n">
        <x:f>DRE!O10+DRE!O11+DRE!O13+DRE!O14+DRE!O15+DRE!O16</x:f>
        <x:v>-391065</x:v>
      </x:c>
      <x:c r="P4" t="n">
        <x:f>DRE!P10+DRE!P11+DRE!P13+DRE!P14+DRE!P15+DRE!P16</x:f>
        <x:v>-391065</x:v>
      </x:c>
      <x:c r="Q4" t="n">
        <x:f>DRE!Q10+DRE!Q11+DRE!Q13+DRE!Q14+DRE!Q15+DRE!Q16</x:f>
        <x:v>-391065</x:v>
      </x:c>
      <x:c r="R4" t="n">
        <x:f>DRE!R10+DRE!R11+DRE!R13+DRE!R14+DRE!R15+DRE!R16</x:f>
        <x:v>-391065</x:v>
      </x:c>
      <x:c r="S4" t="n">
        <x:f>DRE!S10+DRE!S11+DRE!S13+DRE!S14+DRE!S15+DRE!S16</x:f>
        <x:v>-391065</x:v>
      </x:c>
      <x:c r="T4" t="n">
        <x:f>DRE!T10+DRE!T11+DRE!T13+DRE!T14+DRE!T15+DRE!T16</x:f>
        <x:v>-391065</x:v>
      </x:c>
      <x:c r="U4" t="n">
        <x:f>DRE!U10+DRE!U11+DRE!U13+DRE!U14+DRE!U15+DRE!U16</x:f>
        <x:v>-391065</x:v>
      </x:c>
      <x:c r="V4" t="n">
        <x:f>DRE!V10+DRE!V11+DRE!V13+DRE!V14+DRE!V15+DRE!V16</x:f>
        <x:v>-391065</x:v>
      </x:c>
      <x:c r="W4" t="n">
        <x:f>DRE!W10+DRE!W11+DRE!W13+DRE!W14+DRE!W15+DRE!W16</x:f>
        <x:v>-391065</x:v>
      </x:c>
      <x:c r="X4" t="n">
        <x:f>DRE!X10+DRE!X11+DRE!X13+DRE!X14+DRE!X15+DRE!X16</x:f>
        <x:v>-391065</x:v>
      </x:c>
      <x:c r="Y4" t="n">
        <x:f>DRE!Y10+DRE!Y11+DRE!Y13+DRE!Y14+DRE!Y15+DRE!Y16</x:f>
        <x:v>-391065</x:v>
      </x:c>
      <x:c r="Z4" t="n">
        <x:f>DRE!Z10+DRE!Z11+DRE!Z13+DRE!Z14+DRE!Z15+DRE!Z16</x:f>
        <x:v>-391065</x:v>
      </x:c>
      <x:c r="AA4" t="n">
        <x:f>DRE!AA10+DRE!AA11+DRE!AA13+DRE!AA14+DRE!AA15+DRE!AA16</x:f>
        <x:v>-391065</x:v>
      </x:c>
      <x:c r="AB4" t="n">
        <x:f>DRE!AB10+DRE!AB11+DRE!AB13+DRE!AB14+DRE!AB15+DRE!AB16</x:f>
        <x:v>-391065</x:v>
      </x:c>
      <x:c r="AC4" t="n">
        <x:f>DRE!AC10+DRE!AC11+DRE!AC13+DRE!AC14+DRE!AC15+DRE!AC16</x:f>
        <x:v>-391065</x:v>
      </x:c>
      <x:c r="AD4" t="n">
        <x:f>DRE!AD10+DRE!AD11+DRE!AD13+DRE!AD14+DRE!AD15+DRE!AD16</x:f>
        <x:v>-391065</x:v>
      </x:c>
      <x:c r="AE4" t="n">
        <x:f>DRE!AE10+DRE!AE11+DRE!AE13+DRE!AE14+DRE!AE15+DRE!AE16</x:f>
        <x:v>-391065</x:v>
      </x:c>
      <x:c r="AF4" t="n">
        <x:f>DRE!AF10+DRE!AF11+DRE!AF13+DRE!AF14+DRE!AF15+DRE!AF16</x:f>
        <x:v>-391065</x:v>
      </x:c>
      <x:c r="AG4" t="n">
        <x:f>DRE!AG10+DRE!AG11+DRE!AG13+DRE!AG14+DRE!AG15+DRE!AG16</x:f>
        <x:v>-391065</x:v>
      </x:c>
      <x:c r="AH4" t="n">
        <x:f>DRE!AH10+DRE!AH11+DRE!AH13+DRE!AH14+DRE!AH15+DRE!AH16</x:f>
        <x:v>-391065</x:v>
      </x:c>
      <x:c r="AI4" t="n">
        <x:f>DRE!AI10+DRE!AI11+DRE!AI13+DRE!AI14+DRE!AI15+DRE!AI16</x:f>
        <x:v>-391065</x:v>
      </x:c>
      <x:c r="AJ4" t="n">
        <x:f>DRE!AJ10+DRE!AJ11+DRE!AJ13+DRE!AJ14+DRE!AJ15+DRE!AJ16</x:f>
        <x:v>-391065</x:v>
      </x:c>
      <x:c r="AK4" t="n">
        <x:f>DRE!AK10+DRE!AK11+DRE!AK13+DRE!AK14+DRE!AK15+DRE!AK16</x:f>
        <x:v>-391065</x:v>
      </x:c>
    </x:row>
    <x:row r="5">
      <x:c r="A5" t="str">
        <x:v>(=) Caixa do mês</x:v>
      </x:c>
      <x:c r="B5" t="n">
        <x:f>B3+B4</x:f>
        <x:v>-96418.8456</x:v>
      </x:c>
      <x:c r="C5" t="n">
        <x:f>C3+C4</x:f>
        <x:v>-98356.8456</x:v>
      </x:c>
      <x:c r="D5" t="n">
        <x:f>D3+D4</x:f>
        <x:v>-100294.8456</x:v>
      </x:c>
      <x:c r="E5" t="n">
        <x:f>E3+E4</x:f>
        <x:v>-101890.8456</x:v>
      </x:c>
      <x:c r="F5" t="n">
        <x:f>F3+F4</x:f>
        <x:v>-103258.8456</x:v>
      </x:c>
      <x:c r="G5" t="n">
        <x:f>G3+G4</x:f>
        <x:v>-104626.8456</x:v>
      </x:c>
      <x:c r="H5" t="n">
        <x:f>H3+H4</x:f>
        <x:v>-104626.8456</x:v>
      </x:c>
      <x:c r="I5" t="n">
        <x:f>I3+I4</x:f>
        <x:v>-104626.8456</x:v>
      </x:c>
      <x:c r="J5" t="n">
        <x:f>J3+J4</x:f>
        <x:v>-104626.8456</x:v>
      </x:c>
      <x:c r="K5" t="n">
        <x:f>K3+K4</x:f>
        <x:v>-104626.8456</x:v>
      </x:c>
      <x:c r="L5" t="n">
        <x:f>L3+L4</x:f>
        <x:v>-104626.8456</x:v>
      </x:c>
      <x:c r="M5" t="n">
        <x:f>M3+M4</x:f>
        <x:v>-104626.8456</x:v>
      </x:c>
      <x:c r="N5" t="n">
        <x:f>N3+N4</x:f>
        <x:v>-104626.8456</x:v>
      </x:c>
      <x:c r="O5" t="n">
        <x:f>O3+O4</x:f>
        <x:v>-104626.8456</x:v>
      </x:c>
      <x:c r="P5" t="n">
        <x:f>P3+P4</x:f>
        <x:v>-104626.8456</x:v>
      </x:c>
      <x:c r="Q5" t="n">
        <x:f>Q3+Q4</x:f>
        <x:v>-104626.8456</x:v>
      </x:c>
      <x:c r="R5" t="n">
        <x:f>R3+R4</x:f>
        <x:v>-104626.8456</x:v>
      </x:c>
      <x:c r="S5" t="n">
        <x:f>S3+S4</x:f>
        <x:v>-104626.8456</x:v>
      </x:c>
      <x:c r="T5" t="n">
        <x:f>T3+T4</x:f>
        <x:v>-104626.8456</x:v>
      </x:c>
      <x:c r="U5" t="n">
        <x:f>U3+U4</x:f>
        <x:v>-104626.8456</x:v>
      </x:c>
      <x:c r="V5" t="n">
        <x:f>V3+V4</x:f>
        <x:v>-104626.8456</x:v>
      </x:c>
      <x:c r="W5" t="n">
        <x:f>W3+W4</x:f>
        <x:v>-104626.8456</x:v>
      </x:c>
      <x:c r="X5" t="n">
        <x:f>X3+X4</x:f>
        <x:v>-104626.8456</x:v>
      </x:c>
      <x:c r="Y5" t="n">
        <x:f>Y3+Y4</x:f>
        <x:v>-104626.8456</x:v>
      </x:c>
      <x:c r="Z5" t="n">
        <x:f>Z3+Z4</x:f>
        <x:v>-104626.8456</x:v>
      </x:c>
      <x:c r="AA5" t="n">
        <x:f>AA3+AA4</x:f>
        <x:v>-104626.8456</x:v>
      </x:c>
      <x:c r="AB5" t="n">
        <x:f>AB3+AB4</x:f>
        <x:v>-104626.8456</x:v>
      </x:c>
      <x:c r="AC5" t="n">
        <x:f>AC3+AC4</x:f>
        <x:v>-104626.8456</x:v>
      </x:c>
      <x:c r="AD5" t="n">
        <x:f>AD3+AD4</x:f>
        <x:v>-104626.8456</x:v>
      </x:c>
      <x:c r="AE5" t="n">
        <x:f>AE3+AE4</x:f>
        <x:v>-104626.8456</x:v>
      </x:c>
      <x:c r="AF5" t="n">
        <x:f>AF3+AF4</x:f>
        <x:v>-104626.8456</x:v>
      </x:c>
      <x:c r="AG5" t="n">
        <x:f>AG3+AG4</x:f>
        <x:v>-104626.8456</x:v>
      </x:c>
      <x:c r="AH5" t="n">
        <x:f>AH3+AH4</x:f>
        <x:v>-104626.8456</x:v>
      </x:c>
      <x:c r="AI5" t="n">
        <x:f>AI3+AI4</x:f>
        <x:v>-104626.8456</x:v>
      </x:c>
      <x:c r="AJ5" t="n">
        <x:f>AJ3+AJ4</x:f>
        <x:v>-104626.8456</x:v>
      </x:c>
      <x:c r="AK5" t="n">
        <x:f>AK3+AK4</x:f>
        <x:v>-104626.8456</x:v>
      </x:c>
    </x:row>
    <x:row r="6">
      <x:c r="A6" t="str">
        <x:v>(=) Caixa acumulado</x:v>
      </x:c>
      <x:c r="B6" t="n">
        <x:f>Premissas!$B$55+B5</x:f>
        <x:v>203581.1544</x:v>
      </x:c>
      <x:c r="C6" t="n">
        <x:f>B6+C5</x:f>
        <x:v>105224.3088</x:v>
      </x:c>
      <x:c r="D6" t="n">
        <x:f>C6+D5</x:f>
        <x:v>4929.463199999998</x:v>
      </x:c>
      <x:c r="E6" t="n">
        <x:f>D6+E5</x:f>
        <x:v>-96961.3824</x:v>
      </x:c>
      <x:c r="F6" t="n">
        <x:f>E6+F5</x:f>
        <x:v>-200220.228</x:v>
      </x:c>
      <x:c r="G6" t="n">
        <x:f>F6+G5</x:f>
        <x:v>-304847.0736</x:v>
      </x:c>
      <x:c r="H6" t="n">
        <x:f>G6+H5</x:f>
        <x:v>-409473.9192</x:v>
      </x:c>
      <x:c r="I6" t="n">
        <x:f>H6+I5</x:f>
        <x:v>-514100.7648</x:v>
      </x:c>
      <x:c r="J6" t="n">
        <x:f>I6+J5</x:f>
        <x:v>-618727.6104</x:v>
      </x:c>
      <x:c r="K6" t="n">
        <x:f>J6+K5</x:f>
        <x:v>-723354.456</x:v>
      </x:c>
      <x:c r="L6" t="n">
        <x:f>K6+L5</x:f>
        <x:v>-827981.3016</x:v>
      </x:c>
      <x:c r="M6" t="n">
        <x:f>L6+M5</x:f>
        <x:v>-932608.1472</x:v>
      </x:c>
      <x:c r="N6" t="n">
        <x:f>M6+N5</x:f>
        <x:v>-1037234.9928</x:v>
      </x:c>
      <x:c r="O6" t="n">
        <x:f>N6+O5</x:f>
        <x:v>-1141861.8384</x:v>
      </x:c>
      <x:c r="P6" t="n">
        <x:f>O6+P5</x:f>
        <x:v>-1246488.684</x:v>
      </x:c>
      <x:c r="Q6" t="n">
        <x:f>P6+Q5</x:f>
        <x:v>-1351115.5296</x:v>
      </x:c>
      <x:c r="R6" t="n">
        <x:f>Q6+R5</x:f>
        <x:v>-1455742.3752000001</x:v>
      </x:c>
      <x:c r="S6" t="n">
        <x:f>R6+S5</x:f>
        <x:v>-1560369.2208000002</x:v>
      </x:c>
      <x:c r="T6" t="n">
        <x:f>S6+T5</x:f>
        <x:v>-1664996.0664000004</x:v>
      </x:c>
      <x:c r="U6" t="n">
        <x:f>T6+U5</x:f>
        <x:v>-1769622.9120000005</x:v>
      </x:c>
      <x:c r="V6" t="n">
        <x:f>U6+V5</x:f>
        <x:v>-1874249.7576000006</x:v>
      </x:c>
      <x:c r="W6" t="n">
        <x:f>V6+W5</x:f>
        <x:v>-1978876.6032000007</x:v>
      </x:c>
      <x:c r="X6" t="n">
        <x:f>W6+X5</x:f>
        <x:v>-2083503.4488000008</x:v>
      </x:c>
      <x:c r="Y6" t="n">
        <x:f>X6+Y5</x:f>
        <x:v>-2188130.294400001</x:v>
      </x:c>
      <x:c r="Z6" t="n">
        <x:f>Y6+Z5</x:f>
        <x:v>-2292757.140000001</x:v>
      </x:c>
      <x:c r="AA6" t="n">
        <x:f>Z6+AA5</x:f>
        <x:v>-2397383.985600001</x:v>
      </x:c>
      <x:c r="AB6" t="n">
        <x:f>AA6+AB5</x:f>
        <x:v>-2502010.8312000013</x:v>
      </x:c>
      <x:c r="AC6" t="n">
        <x:f>AB6+AC5</x:f>
        <x:v>-2606637.6768000014</x:v>
      </x:c>
      <x:c r="AD6" t="n">
        <x:f>AC6+AD5</x:f>
        <x:v>-2711264.5224000015</x:v>
      </x:c>
      <x:c r="AE6" t="n">
        <x:f>AD6+AE5</x:f>
        <x:v>-2815891.3680000016</x:v>
      </x:c>
      <x:c r="AF6" t="n">
        <x:f>AE6+AF5</x:f>
        <x:v>-2920518.2136000018</x:v>
      </x:c>
      <x:c r="AG6" t="n">
        <x:f>AF6+AG5</x:f>
        <x:v>-3025145.059200002</x:v>
      </x:c>
      <x:c r="AH6" t="n">
        <x:f>AG6+AH5</x:f>
        <x:v>-3129771.904800002</x:v>
      </x:c>
      <x:c r="AI6" t="n">
        <x:f>AH6+AI5</x:f>
        <x:v>-3234398.750400002</x:v>
      </x:c>
      <x:c r="AJ6" t="n">
        <x:f>AI6+AJ5</x:f>
        <x:v>-3339025.596000002</x:v>
      </x:c>
      <x:c r="AK6" t="n">
        <x:f>AJ6+AK5</x:f>
        <x:v>-3443652.4416000023</x:v>
      </x:c>
    </x:row>
    <x:row r="7">
      <x:c r="A7" t="str">
        <x:v>Caixa inicial</x:v>
      </x:c>
      <x:c r="B7" t="n">
        <x:f>Premissas!$B$55</x:f>
        <x:v>300000</x:v>
      </x:c>
    </x:row>
    <x:row r="8">
      <x:c r="A8" t="str">
        <x:v>Menor caixa (36m)</x:v>
      </x:c>
      <x:c r="B8" t="n">
        <x:f>MIN(B6:AK6)</x:f>
        <x:v>-3443652.4416000023</x:v>
      </x:c>
    </x:row>
    <x:row r="9">
      <x:c r="A9" t="str">
        <x:v>Caixa necessário (aporte se &lt;0)</x:v>
      </x:c>
      <x:c r="B9" t="n">
        <x:f>IF(MIN(B6:AK6)&lt;0,-MIN(B6:AK6),0)</x:f>
        <x:v>3443652.4416000023</x:v>
      </x:c>
    </x:row>
  </x:sheetData>
  <x:mergeCells>
    <x:mergeCell ref="A1:A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cols>
    <x:col min="1" max="1" width="44.83203125" customWidth="1"/>
    <x:col min="2" max="2" width="18.83203125" customWidth="1"/>
    <x:col min="3" max="3" width="10.83203125" customWidth="1"/>
  </x:cols>
  <x:sheetData>
    <x:row r="1">
      <x:c r="A1" t="str">
        <x:v>UNIT ECONOMICS (por carro/contrato)</x:v>
      </x:c>
    </x:row>
    <x:row r="2">
      <x:c r="A2" t="str">
        <x:v>Indicador</x:v>
      </x:c>
      <x:c r="B2" t="str">
        <x:v>Fórmula / Valor</x:v>
      </x:c>
      <x:c r="C2" t="str">
        <x:v>Unidade</x:v>
      </x:c>
    </x:row>
    <x:row r="3">
      <x:c r="A3" t="str">
        <x:v>Receita por carro ativo /mês</x:v>
      </x:c>
      <x:c r="B3" t="n">
        <x:f>Motoristas!B4</x:f>
        <x:v>3900</x:v>
      </x:c>
      <x:c r="C3" t="str">
        <x:v>R$</x:v>
      </x:c>
    </x:row>
    <x:row r="4">
      <x:c r="A4" t="str">
        <x:v>Custo total por carro /mês</x:v>
      </x:c>
      <x:c r="B4" t="n">
        <x:f>Frota!B15</x:f>
        <x:v>3255</x:v>
      </x:c>
      <x:c r="C4" t="str">
        <x:v>R$</x:v>
      </x:c>
    </x:row>
    <x:row r="5">
      <x:c r="A5" t="str">
        <x:v>Margem de contribuição por carro /mês</x:v>
      </x:c>
      <x:c r="B5" t="n">
        <x:f>B3-B4</x:f>
        <x:v>645</x:v>
      </x:c>
      <x:c r="C5" t="str">
        <x:v>R$</x:v>
      </x:c>
    </x:row>
    <x:row r="6">
      <x:c r="A6" t="str">
        <x:v>Margem de contribuição %</x:v>
      </x:c>
      <x:c r="B6" s="2" t="n">
        <x:f>(B3-B4)/B3</x:f>
        <x:v>0.16538461538461538</x:v>
      </x:c>
      <x:c r="C6" t="str">
        <x:v>%</x:v>
      </x:c>
    </x:row>
    <x:row r="7">
      <x:c r="A7" t="str">
        <x:v>CAC (aquisição por contrato)</x:v>
      </x:c>
      <x:c r="B7" t="n">
        <x:f>Marketing!B12</x:f>
        <x:v>2857.1428571428573</x:v>
      </x:c>
      <x:c r="C7" t="str">
        <x:v>R$</x:v>
      </x:c>
    </x:row>
    <x:row r="8">
      <x:c r="A8" t="str">
        <x:v>LTV por motorista</x:v>
      </x:c>
      <x:c r="B8" t="n">
        <x:f>Motoristas!B17</x:f>
        <x:v>62725.00000000001</x:v>
      </x:c>
      <x:c r="C8" t="str">
        <x:v>R$</x:v>
      </x:c>
    </x:row>
    <x:row r="9">
      <x:c r="A9" t="str">
        <x:v>LTV / CAC</x:v>
      </x:c>
      <x:c r="B9" t="n">
        <x:f>B8/B7</x:f>
        <x:v>21.95375</x:v>
      </x:c>
      <x:c r="C9" t="str">
        <x:v>x</x:v>
      </x:c>
    </x:row>
    <x:row r="10">
      <x:c r="A10" t="str">
        <x:v>Payback do CAC (meses)</x:v>
      </x:c>
      <x:c r="B10" t="n">
        <x:f>B7/B5</x:f>
        <x:v>4.4296788482834994</x:v>
      </x:c>
      <x:c r="C10" t="str">
        <x:v>meses</x:v>
      </x:c>
    </x:row>
    <x:row r="11">
      <x:c r="A11" t="str">
        <x:v>Custo fixo mensal (equipe+adm+mkt)</x:v>
      </x:c>
      <x:c r="B11" t="n">
        <x:f>Equipe!E12+Premissas!$B$53+Premissas!$B$54+Premissas!$B$25</x:f>
        <x:v>60000</x:v>
      </x:c>
      <x:c r="C11" t="str">
        <x:v>R$</x:v>
      </x:c>
    </x:row>
    <x:row r="12">
      <x:c r="A12" t="str">
        <x:v>Break-even em carros ativos</x:v>
      </x:c>
      <x:c r="B12" t="n">
        <x:f>ROUNDUP(B11/B5,0)</x:f>
        <x:v>94</x:v>
      </x:c>
      <x:c r="C12" t="str">
        <x:v>carros</x:v>
      </x:c>
    </x:row>
    <x:row r="13">
      <x:c r="A13" t="str">
        <x:v>Nº mínimo de carros p/ empatar (c/ ociosidade)</x:v>
      </x:c>
      <x:c r="B13" t="n">
        <x:f>ROUNDUP(B12/((1-Premissas!$B$13)*Premissas!$B$16),0)</x:f>
        <x:v>112</x:v>
      </x:c>
      <x:c r="C13" t="str">
        <x:v>carros</x:v>
      </x:c>
    </x:row>
    <x:row r="14">
      <x:c r="A14" t="str">
        <x:v>Carros ativos atuais (regime)</x:v>
      </x:c>
      <x:c r="B14" t="n">
        <x:f>Frota!B7</x:f>
        <x:v>84.64</x:v>
      </x:c>
      <x:c r="C14" t="str">
        <x:v>carros</x:v>
      </x:c>
    </x:row>
    <x:row r="15">
      <x:c r="A15" t="str">
        <x:v>Folga vs. break-even</x:v>
      </x:c>
      <x:c r="B15" t="n">
        <x:f>B14-B12</x:f>
        <x:v>-9.36</x:v>
      </x:c>
      <x:c r="C15" t="str">
        <x:v>carros</x:v>
      </x:c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cols>
    <x:col min="1" max="1" width="30.83203125" customWidth="1"/>
    <x:col min="2" max="2" width="16.83203125" customWidth="1"/>
    <x:col min="3" max="3" width="16.83203125" customWidth="1"/>
    <x:col min="4" max="4" width="16.83203125" customWidth="1"/>
    <x:col min="5" max="5" width="16.83203125" customWidth="1"/>
  </x:cols>
  <x:sheetData>
    <x:row r="1">
      <x:c r="A1" t="str">
        <x:v>CENÁRIOS — COMPARATIVO</x:v>
      </x:c>
    </x:row>
    <x:row r="2">
      <x:c r="A2" t="str">
        <x:v>Premissa / Resultado</x:v>
      </x:c>
      <x:c r="B2" t="str">
        <x:v>Conservador</x:v>
      </x:c>
      <x:c r="C2" t="str">
        <x:v>Base</x:v>
      </x:c>
      <x:c r="D2" t="str">
        <x:v>Agressivo</x:v>
      </x:c>
      <x:c r="E2" t="str">
        <x:v>Stress</x:v>
      </x:c>
    </x:row>
    <x:row r="3">
      <x:c r="A3" t="str">
        <x:v>CPL</x:v>
      </x:c>
      <x:c r="B3">
        <x:v>35</x:v>
      </x:c>
      <x:c r="C3" t="n">
        <x:f>Premissas!$B$24</x:f>
        <x:v>20</x:v>
      </x:c>
      <x:c r="D3">
        <x:v>12</x:v>
      </x:c>
      <x:c r="E3">
        <x:v>60</x:v>
      </x:c>
    </x:row>
    <x:row r="4">
      <x:c r="A4" t="str">
        <x:v>Taxa de fechamento</x:v>
      </x:c>
      <x:c r="B4" s="2">
        <x:v>0.3</x:v>
      </x:c>
      <x:c r="C4" t="n">
        <x:f>Premissas!$B$31</x:f>
        <x:v>0.4</x:v>
      </x:c>
      <x:c r="D4" s="2">
        <x:v>0.5</x:v>
      </x:c>
      <x:c r="E4" s="2">
        <x:v>0.25</x:v>
      </x:c>
    </x:row>
    <x:row r="5">
      <x:c r="A5" t="str">
        <x:v>Custo aluguel veículo</x:v>
      </x:c>
      <x:c r="B5" s="1">
        <x:v>3200</x:v>
      </x:c>
      <x:c r="C5" t="n">
        <x:f>Premissas!$B$6</x:f>
        <x:v>2800</x:v>
      </x:c>
      <x:c r="D5" s="1">
        <x:v>2500</x:v>
      </x:c>
      <x:c r="E5" s="1">
        <x:v>3400</x:v>
      </x:c>
    </x:row>
    <x:row r="6">
      <x:c r="A6" t="str">
        <x:v>Inadimplência</x:v>
      </x:c>
      <x:c r="B6" s="2">
        <x:v>0.12</x:v>
      </x:c>
      <x:c r="C6" t="n">
        <x:f>Premissas!$B$21</x:f>
        <x:v>0.07</x:v>
      </x:c>
      <x:c r="D6" s="2">
        <x:v>0.04</x:v>
      </x:c>
      <x:c r="E6" s="2">
        <x:v>0.18</x:v>
      </x:c>
    </x:row>
    <x:row r="7">
      <x:c r="A7" t="str">
        <x:v>Ocupação</x:v>
      </x:c>
      <x:c r="B7" s="2">
        <x:v>0.82</x:v>
      </x:c>
      <x:c r="C7" t="n">
        <x:f>Premissas!$B$16</x:f>
        <x:v>0.92</x:v>
      </x:c>
      <x:c r="D7" s="2">
        <x:v>0.95</x:v>
      </x:c>
      <x:c r="E7" s="2">
        <x:v>0.7</x:v>
      </x:c>
    </x:row>
    <x:row r="8">
      <x:c r="A8" t="str">
        <x:v>Churn</x:v>
      </x:c>
      <x:c r="B8" s="2">
        <x:v>0.09</x:v>
      </x:c>
      <x:c r="C8" t="n">
        <x:f>Premissas!$B$20</x:f>
        <x:v>0.06</x:v>
      </x:c>
      <x:c r="D8" s="2">
        <x:v>0.04</x:v>
      </x:c>
      <x:c r="E8" s="2">
        <x:v>0.12</x:v>
      </x:c>
    </x:row>
    <x:row r="9">
      <x:c r="A9" t="str">
        <x:v>Valor mensal motorista</x:v>
      </x:c>
      <x:c r="B9" s="1">
        <x:v>3600</x:v>
      </x:c>
      <x:c r="C9" t="n">
        <x:f>Premissas!$B$17</x:f>
        <x:v>3900</x:v>
      </x:c>
      <x:c r="D9" s="1">
        <x:v>4100</x:v>
      </x:c>
      <x:c r="E9" s="1">
        <x:v>0</x:v>
      </x:c>
    </x:row>
    <x:row r="10">
      <x:c r="A10" t="str">
        <x:v>% carros parados</x:v>
      </x:c>
      <x:c r="B10" s="2">
        <x:v>0.08</x:v>
      </x:c>
      <x:c r="C10" t="n">
        <x:f>Premissas!$B$13</x:f>
        <x:v>0.08</x:v>
      </x:c>
      <x:c r="D10" s="2">
        <x:v>0.08</x:v>
      </x:c>
      <x:c r="E10" s="2">
        <x:v>0.15</x:v>
      </x:c>
    </x:row>
    <x:row r="11">
      <x:c r="A11" t="str">
        <x:v>% sinistro/mês</x:v>
      </x:c>
      <x:c r="B11" s="2">
        <x:v>0.015</x:v>
      </x:c>
      <x:c r="C11" t="n">
        <x:f>Premissas!$B$14</x:f>
        <x:v>0.015</x:v>
      </x:c>
      <x:c r="D11" s="2">
        <x:v>0.015</x:v>
      </x:c>
      <x:c r="E11" s="2">
        <x:v>0.04</x:v>
      </x:c>
    </x:row>
    <x:row r="12">
      <x:c r="A12" t="str">
        <x:v>Carros ativos</x:v>
      </x:c>
      <x:c r="B12">
        <x:f>Premissas!$B$5*(1-B12)*B7</x:f>
      </x:c>
      <x:c r="C12">
        <x:f>Premissas!$B$5*(1-C12)*C7</x:f>
      </x:c>
      <x:c r="D12">
        <x:f>Premissas!$B$5*(1-D12)*D7</x:f>
      </x:c>
      <x:c r="E12">
        <x:f>Premissas!$B$5*(1-E12)*E7</x:f>
      </x:c>
    </x:row>
    <x:row r="13">
      <x:c r="A13" t="str">
        <x:v>Receita bruta /mês</x:v>
      </x:c>
      <x:c r="B13">
        <x:f>B14*B9</x:f>
      </x:c>
      <x:c r="C13">
        <x:f>C14*Premissas!$B$17</x:f>
      </x:c>
      <x:c r="D13">
        <x:f>D14*D9</x:f>
      </x:c>
      <x:c r="E13">
        <x:f>E14*Premissas!$B$17</x:f>
      </x:c>
    </x:row>
    <x:row r="14">
      <x:c r="A14" t="str">
        <x:v>Custo frota /mês</x:v>
      </x:c>
      <x:c r="B14">
        <x:f>B14*B5+B14*B13*Premissas!$B$15</x:f>
      </x:c>
      <x:c r="C14">
        <x:f>C14*C5+C14*C13*Premissas!$B$15</x:f>
      </x:c>
      <x:c r="D14">
        <x:f>D14*D5+D14*D13*Premissas!$B$15</x:f>
      </x:c>
      <x:c r="E14">
        <x:f>E14*E5+E14*E13*Premissas!$B$15</x:f>
      </x:c>
    </x:row>
    <x:row r="15">
      <x:c r="A15" t="str">
        <x:v>Perda inadimplência /mês</x:v>
      </x:c>
      <x:c r="B15">
        <x:f>B15*B6*(1-Premissas!$B$22)</x:f>
      </x:c>
      <x:c r="C15">
        <x:f>C15*C6*(1-Premissas!$B$22)</x:f>
      </x:c>
      <x:c r="D15">
        <x:f>D15*D6*(1-Premissas!$B$22)</x:f>
      </x:c>
      <x:c r="E15">
        <x:f>E15*E6*(1-Premissas!$B$22)</x:f>
      </x:c>
    </x:row>
    <x:row r="16">
      <x:c r="A16" t="str">
        <x:v>Custos fixos /mês</x:v>
      </x:c>
      <x:c r="B16" t="n">
        <x:f>Equipe!$E$12+Premissas!$B$53+Premissas!$B$54+B3/Premissas!$B$24*0+Premissas!$B$25</x:f>
        <x:v>60000</x:v>
      </x:c>
      <x:c r="C16" t="n">
        <x:f>Equipe!$E$12+Premissas!$B$53+Premissas!$B$54+Premissas!$B$25</x:f>
        <x:v>60000</x:v>
      </x:c>
      <x:c r="D16" t="n">
        <x:f>Equipe!$E$12+Premissas!$B$53+Premissas!$B$54+Premissas!$B$25</x:f>
        <x:v>60000</x:v>
      </x:c>
      <x:c r="E16" t="n">
        <x:f>Equipe!$E$12+Premissas!$B$53+Premissas!$B$54+Premissas!$B$25</x:f>
        <x:v>60000</x:v>
      </x:c>
    </x:row>
    <x:row r="17">
      <x:c r="A17" t="str">
        <x:v>Impostos s/ receita /mês</x:v>
      </x:c>
      <x:c r="B17" t="n">
        <x:f>B15*Premissas!$B$52</x:f>
        <x:v>0</x:v>
      </x:c>
      <x:c r="C17" t="n">
        <x:f>C15*Premissas!$B$52</x:f>
        <x:v>0</x:v>
      </x:c>
      <x:c r="D17" t="n">
        <x:f>D15*Premissas!$B$52</x:f>
        <x:v>0</x:v>
      </x:c>
      <x:c r="E17" t="n">
        <x:f>E15*Premissas!$B$52</x:f>
        <x:v>0</x:v>
      </x:c>
    </x:row>
    <x:row r="18">
      <x:c r="A18" t="str">
        <x:v>EBITDA /mês</x:v>
      </x:c>
      <x:c r="B18">
        <x:f>B15-B16-B17-B18-B19</x:f>
      </x:c>
      <x:c r="C18">
        <x:f>C15-C16-C17-C18-C19</x:f>
      </x:c>
      <x:c r="D18">
        <x:f>D15-D16-D17-D18-D19</x:f>
      </x:c>
      <x:c r="E18">
        <x:f>E15-E16-E17-E18-E19</x:f>
      </x:c>
    </x:row>
    <x:row r="19">
      <x:c r="A19" t="str">
        <x:v>Lucro líquido aprox /mês</x:v>
      </x:c>
      <x:c r="B19">
        <x:f>B20</x:f>
      </x:c>
      <x:c r="C19">
        <x:f>C20</x:f>
      </x:c>
      <x:c r="D19">
        <x:f>D20</x:f>
      </x:c>
      <x:c r="E19">
        <x:f>E20</x:f>
      </x:c>
    </x:row>
    <x:row r="20">
      <x:c r="A20" t="str">
        <x:v>Break-even em carros</x:v>
      </x:c>
      <x:c r="B20">
        <x:f>ROUNDUP(B18/(B9-B5),0)</x:f>
      </x:c>
      <x:c r="C20">
        <x:f>ROUNDUP(C18/(Premissas!$B$17-C5),0)</x:f>
      </x:c>
      <x:c r="D20">
        <x:f>ROUNDUP(D18/(D9-D5),0)</x:f>
      </x:c>
      <x:c r="E20">
        <x:f>ROUNDUP(E18/(Premissas!$B$17-E5),0)</x:f>
      </x:c>
    </x:row>
    <x:row r="21">
      <x:c r="A21" t="str">
        <x:v>Caixa necessário (6m rampa aprox)</x:v>
      </x:c>
      <x:c r="B21" t="n">
        <x:f>IF(B20&lt;0,-B20*6,0)+Premissas!$B$25*3</x:f>
        <x:v>90000</x:v>
      </x:c>
      <x:c r="C21" t="n">
        <x:f>IF(C20&lt;0,-C20*6,0)+Premissas!$B$25*3</x:f>
        <x:v>90000</x:v>
      </x:c>
      <x:c r="D21" t="n">
        <x:f>IF(D20&lt;0,-D20*6,0)+Premissas!$B$25*3</x:f>
        <x:v>90000</x:v>
      </x:c>
      <x:c r="E21" t="n">
        <x:f>IF(E20&lt;0,-E20*6,0)+Premissas!$B$25*3</x:f>
        <x:v>90000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cols>
    <x:col min="1" max="1" width="30.83203125" customWidth="1"/>
    <x:col min="2" max="2" width="13.83203125" customWidth="1"/>
    <x:col min="3" max="3" width="13.83203125" customWidth="1"/>
    <x:col min="4" max="4" width="13.83203125" customWidth="1"/>
    <x:col min="5" max="5" width="13.83203125" customWidth="1"/>
    <x:col min="6" max="6" width="13.83203125" customWidth="1"/>
  </x:cols>
  <x:sheetData>
    <x:row r="1">
      <x:c r="A1" t="str">
        <x:v>SENSIBILIDADE — EBITDA /mês (R$)</x:v>
      </x:c>
    </x:row>
    <x:row r="2">
      <x:c r="A2" t="str">
        <x:v>custoAluguel ↓ | valorMotorista →</x:v>
      </x:c>
      <x:c r="B2">
        <x:v>3400</x:v>
      </x:c>
      <x:c r="C2">
        <x:v>3600</x:v>
      </x:c>
      <x:c r="D2">
        <x:v>3800</x:v>
      </x:c>
      <x:c r="E2">
        <x:v>4000</x:v>
      </x:c>
      <x:c r="F2">
        <x:v>4200</x:v>
      </x:c>
    </x:row>
    <x:row r="3">
      <x:c r="A3">
        <x:v>2400</x:v>
      </x:c>
      <x:c r="B3" t="n">
        <x:f>Frota!$B$7*(B$2-$A3-(Premissas!$B$8+Premissas!$B$9+Premissas!$B$10+Premissas!$B$11+Premissas!$B$12+Premissas!$B$7))-(Equipe!$E$12+Premissas!$B$53+Premissas!$B$54+Premissas!$B$25)</x:f>
        <x:v>-13871.199999999997</x:v>
      </x:c>
      <x:c r="C3" t="n">
        <x:f>Frota!$B$7*(C$2-$A3-(Premissas!$B$8+Premissas!$B$9+Premissas!$B$10+Premissas!$B$11+Premissas!$B$12+Premissas!$B$7))-(Equipe!$E$12+Premissas!$B$53+Premissas!$B$54+Premissas!$B$25)</x:f>
        <x:v>3056.800000000003</x:v>
      </x:c>
      <x:c r="D3" t="n">
        <x:f>Frota!$B$7*(D$2-$A3-(Premissas!$B$8+Premissas!$B$9+Premissas!$B$10+Premissas!$B$11+Premissas!$B$12+Premissas!$B$7))-(Equipe!$E$12+Premissas!$B$53+Premissas!$B$54+Premissas!$B$25)</x:f>
        <x:v>19984.800000000003</x:v>
      </x:c>
      <x:c r="E3" t="n">
        <x:f>Frota!$B$7*(E$2-$A3-(Premissas!$B$8+Premissas!$B$9+Premissas!$B$10+Premissas!$B$11+Premissas!$B$12+Premissas!$B$7))-(Equipe!$E$12+Premissas!$B$53+Premissas!$B$54+Premissas!$B$25)</x:f>
        <x:v>36912.8</x:v>
      </x:c>
      <x:c r="F3" t="n">
        <x:f>Frota!$B$7*(F$2-$A3-(Premissas!$B$8+Premissas!$B$9+Premissas!$B$10+Premissas!$B$11+Premissas!$B$12+Premissas!$B$7))-(Equipe!$E$12+Premissas!$B$53+Premissas!$B$54+Premissas!$B$25)</x:f>
        <x:v>53840.8</x:v>
      </x:c>
    </x:row>
    <x:row r="4">
      <x:c r="A4">
        <x:v>2600</x:v>
      </x:c>
      <x:c r="B4" t="n">
        <x:f>Frota!$B$7*(B$2-$A4-(Premissas!$B$8+Premissas!$B$9+Premissas!$B$10+Premissas!$B$11+Premissas!$B$12+Premissas!$B$7))-(Equipe!$E$12+Premissas!$B$53+Premissas!$B$54+Premissas!$B$25)</x:f>
        <x:v>-30799.2</x:v>
      </x:c>
      <x:c r="C4" t="n">
        <x:f>Frota!$B$7*(C$2-$A4-(Premissas!$B$8+Premissas!$B$9+Premissas!$B$10+Premissas!$B$11+Premissas!$B$12+Premissas!$B$7))-(Equipe!$E$12+Premissas!$B$53+Premissas!$B$54+Premissas!$B$25)</x:f>
        <x:v>-13871.199999999997</x:v>
      </x:c>
      <x:c r="D4" t="n">
        <x:f>Frota!$B$7*(D$2-$A4-(Premissas!$B$8+Premissas!$B$9+Premissas!$B$10+Premissas!$B$11+Premissas!$B$12+Premissas!$B$7))-(Equipe!$E$12+Premissas!$B$53+Premissas!$B$54+Premissas!$B$25)</x:f>
        <x:v>3056.800000000003</x:v>
      </x:c>
      <x:c r="E4" t="n">
        <x:f>Frota!$B$7*(E$2-$A4-(Premissas!$B$8+Premissas!$B$9+Premissas!$B$10+Premissas!$B$11+Premissas!$B$12+Premissas!$B$7))-(Equipe!$E$12+Premissas!$B$53+Premissas!$B$54+Premissas!$B$25)</x:f>
        <x:v>19984.800000000003</x:v>
      </x:c>
      <x:c r="F4" t="n">
        <x:f>Frota!$B$7*(F$2-$A4-(Premissas!$B$8+Premissas!$B$9+Premissas!$B$10+Premissas!$B$11+Premissas!$B$12+Premissas!$B$7))-(Equipe!$E$12+Premissas!$B$53+Premissas!$B$54+Premissas!$B$25)</x:f>
        <x:v>36912.8</x:v>
      </x:c>
    </x:row>
    <x:row r="5">
      <x:c r="A5">
        <x:v>2800</x:v>
      </x:c>
      <x:c r="B5" t="n">
        <x:f>Frota!$B$7*(B$2-$A5-(Premissas!$B$8+Premissas!$B$9+Premissas!$B$10+Premissas!$B$11+Premissas!$B$12+Premissas!$B$7))-(Equipe!$E$12+Premissas!$B$53+Premissas!$B$54+Premissas!$B$25)</x:f>
        <x:v>-47727.2</x:v>
      </x:c>
      <x:c r="C5" t="n">
        <x:f>Frota!$B$7*(C$2-$A5-(Premissas!$B$8+Premissas!$B$9+Premissas!$B$10+Premissas!$B$11+Premissas!$B$12+Premissas!$B$7))-(Equipe!$E$12+Premissas!$B$53+Premissas!$B$54+Premissas!$B$25)</x:f>
        <x:v>-30799.2</x:v>
      </x:c>
      <x:c r="D5" t="n">
        <x:f>Frota!$B$7*(D$2-$A5-(Premissas!$B$8+Premissas!$B$9+Premissas!$B$10+Premissas!$B$11+Premissas!$B$12+Premissas!$B$7))-(Equipe!$E$12+Premissas!$B$53+Premissas!$B$54+Premissas!$B$25)</x:f>
        <x:v>-13871.199999999997</x:v>
      </x:c>
      <x:c r="E5" t="n">
        <x:f>Frota!$B$7*(E$2-$A5-(Premissas!$B$8+Premissas!$B$9+Premissas!$B$10+Premissas!$B$11+Premissas!$B$12+Premissas!$B$7))-(Equipe!$E$12+Premissas!$B$53+Premissas!$B$54+Premissas!$B$25)</x:f>
        <x:v>3056.800000000003</x:v>
      </x:c>
      <x:c r="F5" t="n">
        <x:f>Frota!$B$7*(F$2-$A5-(Premissas!$B$8+Premissas!$B$9+Premissas!$B$10+Premissas!$B$11+Premissas!$B$12+Premissas!$B$7))-(Equipe!$E$12+Premissas!$B$53+Premissas!$B$54+Premissas!$B$25)</x:f>
        <x:v>19984.800000000003</x:v>
      </x:c>
    </x:row>
    <x:row r="6">
      <x:c r="A6">
        <x:v>3000</x:v>
      </x:c>
      <x:c r="B6" t="n">
        <x:f>Frota!$B$7*(B$2-$A6-(Premissas!$B$8+Premissas!$B$9+Premissas!$B$10+Premissas!$B$11+Premissas!$B$12+Premissas!$B$7))-(Equipe!$E$12+Premissas!$B$53+Premissas!$B$54+Premissas!$B$25)</x:f>
        <x:v>-64655.2</x:v>
      </x:c>
      <x:c r="C6" t="n">
        <x:f>Frota!$B$7*(C$2-$A6-(Premissas!$B$8+Premissas!$B$9+Premissas!$B$10+Premissas!$B$11+Premissas!$B$12+Premissas!$B$7))-(Equipe!$E$12+Premissas!$B$53+Premissas!$B$54+Premissas!$B$25)</x:f>
        <x:v>-47727.2</x:v>
      </x:c>
      <x:c r="D6" t="n">
        <x:f>Frota!$B$7*(D$2-$A6-(Premissas!$B$8+Premissas!$B$9+Premissas!$B$10+Premissas!$B$11+Premissas!$B$12+Premissas!$B$7))-(Equipe!$E$12+Premissas!$B$53+Premissas!$B$54+Premissas!$B$25)</x:f>
        <x:v>-30799.2</x:v>
      </x:c>
      <x:c r="E6" t="n">
        <x:f>Frota!$B$7*(E$2-$A6-(Premissas!$B$8+Premissas!$B$9+Premissas!$B$10+Premissas!$B$11+Premissas!$B$12+Premissas!$B$7))-(Equipe!$E$12+Premissas!$B$53+Premissas!$B$54+Premissas!$B$25)</x:f>
        <x:v>-13871.199999999997</x:v>
      </x:c>
      <x:c r="F6" t="n">
        <x:f>Frota!$B$7*(F$2-$A6-(Premissas!$B$8+Premissas!$B$9+Premissas!$B$10+Premissas!$B$11+Premissas!$B$12+Premissas!$B$7))-(Equipe!$E$12+Premissas!$B$53+Premissas!$B$54+Premissas!$B$25)</x:f>
        <x:v>3056.800000000003</x:v>
      </x:c>
    </x:row>
    <x:row r="7">
      <x:c r="A7">
        <x:v>3200</x:v>
      </x:c>
      <x:c r="B7" t="n">
        <x:f>Frota!$B$7*(B$2-$A7-(Premissas!$B$8+Premissas!$B$9+Premissas!$B$10+Premissas!$B$11+Premissas!$B$12+Premissas!$B$7))-(Equipe!$E$12+Premissas!$B$53+Premissas!$B$54+Premissas!$B$25)</x:f>
        <x:v>-81583.2</x:v>
      </x:c>
      <x:c r="C7" t="n">
        <x:f>Frota!$B$7*(C$2-$A7-(Premissas!$B$8+Premissas!$B$9+Premissas!$B$10+Premissas!$B$11+Premissas!$B$12+Premissas!$B$7))-(Equipe!$E$12+Premissas!$B$53+Premissas!$B$54+Premissas!$B$25)</x:f>
        <x:v>-64655.2</x:v>
      </x:c>
      <x:c r="D7" t="n">
        <x:f>Frota!$B$7*(D$2-$A7-(Premissas!$B$8+Premissas!$B$9+Premissas!$B$10+Premissas!$B$11+Premissas!$B$12+Premissas!$B$7))-(Equipe!$E$12+Premissas!$B$53+Premissas!$B$54+Premissas!$B$25)</x:f>
        <x:v>-47727.2</x:v>
      </x:c>
      <x:c r="E7" t="n">
        <x:f>Frota!$B$7*(E$2-$A7-(Premissas!$B$8+Premissas!$B$9+Premissas!$B$10+Premissas!$B$11+Premissas!$B$12+Premissas!$B$7))-(Equipe!$E$12+Premissas!$B$53+Premissas!$B$54+Premissas!$B$25)</x:f>
        <x:v>-30799.2</x:v>
      </x:c>
      <x:c r="F7" t="n">
        <x:f>Frota!$B$7*(F$2-$A7-(Premissas!$B$8+Premissas!$B$9+Premissas!$B$10+Premissas!$B$11+Premissas!$B$12+Premissas!$B$7))-(Equipe!$E$12+Premissas!$B$53+Premissas!$B$54+Premissas!$B$25)</x:f>
        <x:v>-13871.199999999997</x:v>
      </x:c>
    </x:row>
    <x:row r="8">
      <x:c r="A8">
        <x:v>3400</x:v>
      </x:c>
      <x:c r="B8" t="n">
        <x:f>Frota!$B$7*(B$2-$A8-(Premissas!$B$8+Premissas!$B$9+Premissas!$B$10+Premissas!$B$11+Premissas!$B$12+Premissas!$B$7))-(Equipe!$E$12+Premissas!$B$53+Premissas!$B$54+Premissas!$B$25)</x:f>
        <x:v>-98511.2</x:v>
      </x:c>
      <x:c r="C8" t="n">
        <x:f>Frota!$B$7*(C$2-$A8-(Premissas!$B$8+Premissas!$B$9+Premissas!$B$10+Premissas!$B$11+Premissas!$B$12+Premissas!$B$7))-(Equipe!$E$12+Premissas!$B$53+Premissas!$B$54+Premissas!$B$25)</x:f>
        <x:v>-81583.2</x:v>
      </x:c>
      <x:c r="D8" t="n">
        <x:f>Frota!$B$7*(D$2-$A8-(Premissas!$B$8+Premissas!$B$9+Premissas!$B$10+Premissas!$B$11+Premissas!$B$12+Premissas!$B$7))-(Equipe!$E$12+Premissas!$B$53+Premissas!$B$54+Premissas!$B$25)</x:f>
        <x:v>-64655.2</x:v>
      </x:c>
      <x:c r="E8" t="n">
        <x:f>Frota!$B$7*(E$2-$A8-(Premissas!$B$8+Premissas!$B$9+Premissas!$B$10+Premissas!$B$11+Premissas!$B$12+Premissas!$B$7))-(Equipe!$E$12+Premissas!$B$53+Premissas!$B$54+Premissas!$B$25)</x:f>
        <x:v>-47727.2</x:v>
      </x:c>
      <x:c r="F8" t="n">
        <x:f>Frota!$B$7*(F$2-$A8-(Premissas!$B$8+Premissas!$B$9+Premissas!$B$10+Premissas!$B$11+Premissas!$B$12+Premissas!$B$7))-(Equipe!$E$12+Premissas!$B$53+Premissas!$B$54+Premissas!$B$25)</x:f>
        <x:v>-30799.2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cols>
    <x:col min="1" max="1" width="26.83203125" customWidth="1"/>
    <x:col min="2" max="2" width="22.83203125" customWidth="1"/>
    <x:col min="3" max="3" width="22.83203125" customWidth="1"/>
    <x:col min="4" max="4" width="22.83203125" customWidth="1"/>
  </x:cols>
  <x:sheetData>
    <x:row r="1">
      <x:c r="A1" t="str">
        <x:v>eDrive Go — DASHBOARD EXECUTIVO</x:v>
      </x:c>
    </x:row>
    <x:row r="2">
      <x:c r="A2" t="str"/>
    </x:row>
    <x:row r="3">
      <x:c r="A3" t="str">
        <x:v>Carros ativos (regime)</x:v>
      </x:c>
      <x:c r="B3" t="str">
        <x:v>Receita bruta /mês</x:v>
      </x:c>
      <x:c r="C3" t="str">
        <x:v>EBITDA /mês (regime)</x:v>
      </x:c>
      <x:c r="D3" t="str">
        <x:v>Lucro líquido /mês (regime)</x:v>
      </x:c>
    </x:row>
    <x:row r="4">
      <x:c r="A4" t="n">
        <x:f>Frota!B7</x:f>
        <x:v>84.64</x:v>
      </x:c>
      <x:c r="B4" t="n">
        <x:f>Cenarios!C15</x:f>
        <x:v>0</x:v>
      </x:c>
      <x:c r="C4" t="n">
        <x:f>Cenarios!C20</x:f>
        <x:v>0</x:v>
      </x:c>
      <x:c r="D4" t="n">
        <x:f>Cenarios!C21</x:f>
        <x:v>90000</x:v>
      </x:c>
    </x:row>
    <x:row r="5">
      <x:c r="A5" t="str"/>
    </x:row>
    <x:row r="6">
      <x:c r="A6" t="str">
        <x:v>Break-even (carros)</x:v>
      </x:c>
      <x:c r="B6" t="str">
        <x:v>Carros ativos atuais</x:v>
      </x:c>
      <x:c r="C6" t="str">
        <x:v>Margem contrib. /carro</x:v>
      </x:c>
      <x:c r="D6" t="str">
        <x:v>LTV / CAC</x:v>
      </x:c>
    </x:row>
    <x:row r="7">
      <x:c r="A7" t="n">
        <x:f>Unit!B12</x:f>
        <x:v>94</x:v>
      </x:c>
      <x:c r="B7" t="n">
        <x:f>Frota!B7</x:f>
        <x:v>84.64</x:v>
      </x:c>
      <x:c r="C7" t="n">
        <x:f>Unit!B5</x:f>
        <x:v>645</x:v>
      </x:c>
      <x:c r="D7" t="n">
        <x:f>Unit!B9</x:f>
        <x:v>21.95375</x:v>
      </x:c>
    </x:row>
    <x:row r="8">
      <x:c r="A8" t="str"/>
    </x:row>
    <x:row r="9">
      <x:c r="A9" t="str">
        <x:v>CAC</x:v>
      </x:c>
      <x:c r="B9" t="str">
        <x:v>LTV</x:v>
      </x:c>
      <x:c r="C9" t="str">
        <x:v>Payback CAC (meses)</x:v>
      </x:c>
      <x:c r="D9" t="str">
        <x:v>Caixa mínimo (36m)</x:v>
      </x:c>
    </x:row>
    <x:row r="10">
      <x:c r="A10" t="n">
        <x:f>Marketing!B12</x:f>
        <x:v>2857.1428571428573</x:v>
      </x:c>
      <x:c r="B10" t="n">
        <x:f>Motoristas!B17</x:f>
        <x:v>62725.00000000001</x:v>
      </x:c>
      <x:c r="C10" t="n">
        <x:f>Unit!B10</x:f>
        <x:v>4.4296788482834994</x:v>
      </x:c>
      <x:c r="D10" t="n">
        <x:f>Fluxo!B7</x:f>
        <x:v>300000</x:v>
      </x:c>
    </x:row>
    <x:row r="11">
      <x:c r="A11" t="str"/>
    </x:row>
    <x:row r="12">
      <x:c r="A12" t="str">
        <x:v>STATUS BREAK-EVEN</x:v>
      </x:c>
      <x:c r="B12" t="str">
        <x:f>IF(Frota!B7&gt;=Unit!B12,"ACIMA do break-even ✔","ABAIXO do break-even ✘")</x:f>
        <x:v>ABAIXO do break-even ✘</x:v>
      </x:c>
    </x:row>
    <x:row r="13">
      <x:c r="A13" t="str">
        <x:v>Folga (carros acima do break-even)</x:v>
      </x:c>
      <x:c r="B13" t="n">
        <x:f>Unit!B12*-1+Frota!B7</x:f>
        <x:v>-9.36</x:v>
      </x:c>
    </x:row>
    <x:row r="14">
      <x:c r="A14" t="str">
        <x:v>Nota</x:v>
      </x:c>
      <x:c r="B14" t="str">
        <x:v>KPIs recalculam ao editar a aba Premissas. Cenário exibido = Base (Cenarios coluna C).</x:v>
      </x:c>
    </x:row>
  </x:sheetData>
  <x:mergeCells>
    <x:mergeCell ref="A1:D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cols>
    <x:col min="1" max="1" width="30.83203125" customWidth="1"/>
    <x:col min="2" max="2" width="14.83203125" customWidth="1"/>
    <x:col min="3" max="3" width="10.83203125" customWidth="1"/>
    <x:col min="4" max="4" width="10.83203125" customWidth="1"/>
    <x:col min="5" max="5" width="16.83203125" customWidth="1"/>
    <x:col min="6" max="6" width="34.83203125" customWidth="1"/>
    <x:col min="7" max="7" width="16.83203125" customWidth="1"/>
    <x:col min="8" max="8" width="28.83203125" customWidth="1"/>
  </x:cols>
  <x:sheetData>
    <x:row r="1">
      <x:c r="A1" t="str">
        <x:v>RISCOS E MITIGAÇÕES</x:v>
      </x:c>
    </x:row>
    <x:row r="2">
      <x:c r="A2" t="str">
        <x:v>Risco</x:v>
      </x:c>
      <x:c r="B2" t="str">
        <x:v>Categoria</x:v>
      </x:c>
      <x:c r="C2" t="str">
        <x:v>Probab.</x:v>
      </x:c>
      <x:c r="D2" t="str">
        <x:v>Impacto</x:v>
      </x:c>
      <x:c r="E2" t="str">
        <x:v>Indicador</x:v>
      </x:c>
      <x:c r="F2" t="str">
        <x:v>Mitigação</x:v>
      </x:c>
      <x:c r="G2" t="str">
        <x:v>Responsável</x:v>
      </x:c>
      <x:c r="H2" t="str">
        <x:v>Contingência</x:v>
      </x:c>
    </x:row>
    <x:row r="3">
      <x:c r="A3" t="str">
        <x:v>CPL alto / mídia cara</x:v>
      </x:c>
      <x:c r="B3" t="str">
        <x:v>Comercial</x:v>
      </x:c>
      <x:c r="C3" t="str">
        <x:v>Média</x:v>
      </x:c>
      <x:c r="D3" t="str">
        <x:v>Alto</x:v>
      </x:c>
      <x:c r="E3" t="str">
        <x:v>CPL, CAC</x:v>
      </x:c>
      <x:c r="F3" t="str">
        <x:v>Testar canais, otimizar criativos, SEO/indicação</x:v>
      </x:c>
      <x:c r="G3" t="str">
        <x:v>Mkt</x:v>
      </x:c>
      <x:c r="H3" t="str">
        <x:v>Renegociar verba, focar orgânico</x:v>
      </x:c>
    </x:row>
    <x:row r="4">
      <x:c r="A4" t="str">
        <x:v>Baixa conversão do funil</x:v>
      </x:c>
      <x:c r="B4" t="str">
        <x:v>Comercial</x:v>
      </x:c>
      <x:c r="C4" t="str">
        <x:v>Média</x:v>
      </x:c>
      <x:c r="D4" t="str">
        <x:v>Alto</x:v>
      </x:c>
      <x:c r="E4" t="str">
        <x:v>Tx fechamento</x:v>
      </x:c>
      <x:c r="F4" t="str">
        <x:v>Roteiro de vendas, treinamento closer</x:v>
      </x:c>
      <x:c r="G4" t="str">
        <x:v>Ger. Comercial</x:v>
      </x:c>
      <x:c r="H4" t="str">
        <x:v>Ajustar oferta/preço</x:v>
      </x:c>
    </x:row>
    <x:row r="5">
      <x:c r="A5" t="str">
        <x:v>Baixa aprovação de crédito</x:v>
      </x:c>
      <x:c r="B5" t="str">
        <x:v>Crédito</x:v>
      </x:c>
      <x:c r="C5" t="str">
        <x:v>Alta</x:v>
      </x:c>
      <x:c r="D5" t="str">
        <x:v>Alto</x:v>
      </x:c>
      <x:c r="E5" t="str">
        <x:v>Tx aprovação</x:v>
      </x:c>
      <x:c r="F5" t="str">
        <x:v>Múltiplas financeiras, pré-análise</x:v>
      </x:c>
      <x:c r="G5" t="str">
        <x:v>Analista</x:v>
      </x:c>
      <x:c r="H5" t="str">
        <x:v>Público-alvo mais qualificado</x:v>
      </x:c>
    </x:row>
    <x:row r="6">
      <x:c r="A6" t="str">
        <x:v>Inadimplência</x:v>
      </x:c>
      <x:c r="B6" t="str">
        <x:v>Financeiro</x:v>
      </x:c>
      <x:c r="C6" t="str">
        <x:v>Alta</x:v>
      </x:c>
      <x:c r="D6" t="str">
        <x:v>Alto</x:v>
      </x:c>
      <x:c r="E6" t="str">
        <x:v>% inadimplência</x:v>
      </x:c>
      <x:c r="F6" t="str">
        <x:v>Caução, débito recorrente, score</x:v>
      </x:c>
      <x:c r="G6" t="str">
        <x:v>Financeiro</x:v>
      </x:c>
      <x:c r="H6" t="str">
        <x:v>Bloqueio remoto, recolhimento</x:v>
      </x:c>
    </x:row>
    <x:row r="7">
      <x:c r="A7" t="str">
        <x:v>Churn de motoristas</x:v>
      </x:c>
      <x:c r="B7" t="str">
        <x:v>Operacional</x:v>
      </x:c>
      <x:c r="C7" t="str">
        <x:v>Média</x:v>
      </x:c>
      <x:c r="D7" t="str">
        <x:v>Alto</x:v>
      </x:c>
      <x:c r="E7" t="str">
        <x:v>Churn</x:v>
      </x:c>
      <x:c r="F7" t="str">
        <x:v>Suporte ágil, benefícios, NPS</x:v>
      </x:c>
      <x:c r="G7" t="str">
        <x:v>CS</x:v>
      </x:c>
      <x:c r="H7" t="str">
        <x:v>Reengajamento, fila de espera</x:v>
      </x:c>
    </x:row>
    <x:row r="8">
      <x:c r="A8" t="str">
        <x:v>Carros parados</x:v>
      </x:c>
      <x:c r="B8" t="str">
        <x:v>Operacional</x:v>
      </x:c>
      <x:c r="C8" t="str">
        <x:v>Média</x:v>
      </x:c>
      <x:c r="D8" t="str">
        <x:v>Médio</x:v>
      </x:c>
      <x:c r="E8" t="str">
        <x:v>% parados</x:v>
      </x:c>
      <x:c r="F8" t="str">
        <x:v>Manutenção preventiva, carro reserva</x:v>
      </x:c>
      <x:c r="G8" t="str">
        <x:v>Gestor Frota</x:v>
      </x:c>
      <x:c r="H8" t="str">
        <x:v>Realocar/priorizar reparo</x:v>
      </x:c>
    </x:row>
    <x:row r="9">
      <x:c r="A9" t="str">
        <x:v>Sinistros</x:v>
      </x:c>
      <x:c r="B9" t="str">
        <x:v>Operacional</x:v>
      </x:c>
      <x:c r="C9" t="str">
        <x:v>Média</x:v>
      </x:c>
      <x:c r="D9" t="str">
        <x:v>Alto</x:v>
      </x:c>
      <x:c r="E9" t="str">
        <x:v>% sinistro</x:v>
      </x:c>
      <x:c r="F9" t="str">
        <x:v>Telemetria, seleção, treinamento</x:v>
      </x:c>
      <x:c r="G9" t="str">
        <x:v>Gestor Frota</x:v>
      </x:c>
      <x:c r="H9" t="str">
        <x:v>Seguro/franquia, laudo</x:v>
      </x:c>
    </x:row>
    <x:row r="10">
      <x:c r="A10" t="str">
        <x:v>Multas de trânsito</x:v>
      </x:c>
      <x:c r="B10" t="str">
        <x:v>Operacional</x:v>
      </x:c>
      <x:c r="C10" t="str">
        <x:v>Alta</x:v>
      </x:c>
      <x:c r="D10" t="str">
        <x:v>Médio</x:v>
      </x:c>
      <x:c r="E10" t="str">
        <x:v>Multas/carro</x:v>
      </x:c>
      <x:c r="F10" t="str">
        <x:v>Cláusula repasse, telemetria</x:v>
      </x:c>
      <x:c r="G10" t="str">
        <x:v>Gestor Frota</x:v>
      </x:c>
      <x:c r="H10" t="str">
        <x:v>Cobrança em folha/caução</x:v>
      </x:c>
    </x:row>
    <x:row r="11">
      <x:c r="A11" t="str">
        <x:v>Problemas com a locadora</x:v>
      </x:c>
      <x:c r="B11" t="str">
        <x:v>Estratégico</x:v>
      </x:c>
      <x:c r="C11" t="str">
        <x:v>Média</x:v>
      </x:c>
      <x:c r="D11" t="str">
        <x:v>Crítico</x:v>
      </x:c>
      <x:c r="E11" t="str">
        <x:v>SLA locadora</x:v>
      </x:c>
      <x:c r="F11" t="str">
        <x:v>Contrato claro, 2ª locadora</x:v>
      </x:c>
      <x:c r="G11" t="str">
        <x:v>Diretoria</x:v>
      </x:c>
      <x:c r="H11" t="str">
        <x:v>Fornecedor alternativo</x:v>
      </x:c>
    </x:row>
    <x:row r="12">
      <x:c r="A12" t="str">
        <x:v>Risco regulatório crédito/consórcio</x:v>
      </x:c>
      <x:c r="B12" t="str">
        <x:v>Jurídico</x:v>
      </x:c>
      <x:c r="C12" t="str">
        <x:v>Média</x:v>
      </x:c>
      <x:c r="D12" t="str">
        <x:v>Crítico</x:v>
      </x:c>
      <x:c r="E12" t="str">
        <x:v>Autuações</x:v>
      </x:c>
      <x:c r="F12" t="str">
        <x:v>Parceiro habilitado BACEN, jurídico</x:v>
      </x:c>
      <x:c r="G12" t="str">
        <x:v>Jurídico</x:v>
      </x:c>
      <x:c r="H12" t="str">
        <x:v>Suspender oferta</x:v>
      </x:c>
    </x:row>
    <x:row r="13">
      <x:c r="A13" t="str">
        <x:v>Promessa indevida (aprovação/contemplação)</x:v>
      </x:c>
      <x:c r="B13" t="str">
        <x:v>Jurídico</x:v>
      </x:c>
      <x:c r="C13" t="str">
        <x:v>Média</x:v>
      </x:c>
      <x:c r="D13" t="str">
        <x:v>Alto</x:v>
      </x:c>
      <x:c r="E13" t="str">
        <x:v>Reclamações</x:v>
      </x:c>
      <x:c r="F13" t="str">
        <x:v>Revisão de material, disclaimers</x:v>
      </x:c>
      <x:c r="G13" t="str">
        <x:v>Jurídico/Mkt</x:v>
      </x:c>
      <x:c r="H13" t="str">
        <x:v>Retirar peça, treinar time</x:v>
      </x:c>
    </x:row>
    <x:row r="14">
      <x:c r="A14" t="str">
        <x:v>LGPD (dados pessoais)</x:v>
      </x:c>
      <x:c r="B14" t="str">
        <x:v>Jurídico</x:v>
      </x:c>
      <x:c r="C14" t="str">
        <x:v>Média</x:v>
      </x:c>
      <x:c r="D14" t="str">
        <x:v>Alto</x:v>
      </x:c>
      <x:c r="E14" t="str">
        <x:v>Incidentes</x:v>
      </x:c>
      <x:c r="F14" t="str">
        <x:v>Consentimento, criptografia, DPO</x:v>
      </x:c>
      <x:c r="G14" t="str">
        <x:v>Jurídico</x:v>
      </x:c>
      <x:c r="H14" t="str">
        <x:v>Notificar ANPD, plano resposta</x:v>
      </x:c>
    </x:row>
    <x:row r="15">
      <x:c r="A15" t="str">
        <x:v>Fraude documental</x:v>
      </x:c>
      <x:c r="B15" t="str">
        <x:v>Crédito</x:v>
      </x:c>
      <x:c r="C15" t="str">
        <x:v>Média</x:v>
      </x:c>
      <x:c r="D15" t="str">
        <x:v>Alto</x:v>
      </x:c>
      <x:c r="E15" t="str">
        <x:v>Fraudes detect.</x:v>
      </x:c>
      <x:c r="F15" t="str">
        <x:v>Validação doc, biometria, antifraude</x:v>
      </x:c>
      <x:c r="G15" t="str">
        <x:v>Analista</x:v>
      </x:c>
      <x:c r="H15" t="str">
        <x:v>Cancelar contrato, BO</x:v>
      </x:c>
    </x:row>
    <x:row r="16">
      <x:c r="A16" t="str">
        <x:v>Mau uso do veículo</x:v>
      </x:c>
      <x:c r="B16" t="str">
        <x:v>Operacional</x:v>
      </x:c>
      <x:c r="C16" t="str">
        <x:v>Média</x:v>
      </x:c>
      <x:c r="D16" t="str">
        <x:v>Médio</x:v>
      </x:c>
      <x:c r="E16" t="str">
        <x:v>Alertas telemetria</x:v>
      </x:c>
      <x:c r="F16" t="str">
        <x:v>Termo de uso, telemetria</x:v>
      </x:c>
      <x:c r="G16" t="str">
        <x:v>Gestor Frota</x:v>
      </x:c>
      <x:c r="H16" t="str">
        <x:v>Advertência, retomada</x:v>
      </x:c>
    </x:row>
    <x:row r="17">
      <x:c r="A17" t="str">
        <x:v>Seguro alto / não incluso</x:v>
      </x:c>
      <x:c r="B17" t="str">
        <x:v>Financeiro</x:v>
      </x:c>
      <x:c r="C17" t="str">
        <x:v>Média</x:v>
      </x:c>
      <x:c r="D17" t="str">
        <x:v>Alto</x:v>
      </x:c>
      <x:c r="E17" t="str">
        <x:v>Custo seguro</x:v>
      </x:c>
      <x:c r="F17" t="str">
        <x:v>VALIDAR com locadora, cotar mercado</x:v>
      </x:c>
      <x:c r="G17" t="str">
        <x:v>Financeiro</x:v>
      </x:c>
      <x:c r="H17" t="str">
        <x:v>Repassar ao preço</x:v>
      </x:c>
    </x:row>
    <x:row r="18">
      <x:c r="A18" t="str">
        <x:v>Falta de caixa</x:v>
      </x:c>
      <x:c r="B18" t="str">
        <x:v>Financeiro</x:v>
      </x:c>
      <x:c r="C18" t="str">
        <x:v>Média</x:v>
      </x:c>
      <x:c r="D18" t="str">
        <x:v>Crítico</x:v>
      </x:c>
      <x:c r="E18" t="str">
        <x:v>Caixa acumulado</x:v>
      </x:c>
      <x:c r="F18" t="str">
        <x:v>Reserva, controle rampa, aporte</x:v>
      </x:c>
      <x:c r="G18" t="str">
        <x:v>Diretoria</x:v>
      </x:c>
      <x:c r="H18" t="str">
        <x:v>Linha de crédito, reduzir CAPEX</x:v>
      </x:c>
    </x:row>
    <x:row r="19">
      <x:c r="A19" t="str">
        <x:v>Crescimento rápido demais</x:v>
      </x:c>
      <x:c r="B19" t="str">
        <x:v>Estratégico</x:v>
      </x:c>
      <x:c r="C19" t="str">
        <x:v>Média</x:v>
      </x:c>
      <x:c r="D19" t="str">
        <x:v>Alto</x:v>
      </x:c>
      <x:c r="E19" t="str">
        <x:v>Backlog entregas</x:v>
      </x:c>
      <x:c r="F19" t="str">
        <x:v>Escalar equipe por gatilhos</x:v>
      </x:c>
      <x:c r="G19" t="str">
        <x:v>Diretoria</x:v>
      </x:c>
      <x:c r="H19" t="str">
        <x:v>Fila controlada de ativação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cols>
    <x:col min="1" max="1" width="12.83203125" customWidth="1"/>
    <x:col min="2" max="2" width="50.83203125" customWidth="1"/>
    <x:col min="3" max="3" width="18.83203125" customWidth="1"/>
    <x:col min="4" max="4" width="30.83203125" customWidth="1"/>
  </x:cols>
  <x:sheetData>
    <x:row r="1">
      <x:c r="A1" t="str">
        <x:v>ROADMAP — 7/30/60/90 DIAS E 12 MESES</x:v>
      </x:c>
    </x:row>
    <x:row r="2">
      <x:c r="A2" t="str">
        <x:v>Horizonte</x:v>
      </x:c>
      <x:c r="B2" t="str">
        <x:v>Marco / Entrega</x:v>
      </x:c>
      <x:c r="C2" t="str">
        <x:v>Área</x:v>
      </x:c>
      <x:c r="D2" t="str">
        <x:v>Meta / Indicador</x:v>
      </x:c>
    </x:row>
    <x:row r="3">
      <x:c r="A3" t="str">
        <x:v>7 dias</x:v>
      </x:c>
      <x:c r="B3" t="str">
        <x:v>Validar aluguel/seguro com locadora (contrato 100un)</x:v>
      </x:c>
      <x:c r="C3" t="str">
        <x:v>Diretoria/Jurídico</x:v>
      </x:c>
      <x:c r="D3" t="str">
        <x:v>Custo aluguel confirmado</x:v>
      </x:c>
    </x:row>
    <x:row r="4">
      <x:c r="A4" t="str">
        <x:v>7 dias</x:v>
      </x:c>
      <x:c r="B4" t="str">
        <x:v>Fechar parceiro habilitado de crédito/consórcio (BACEN)</x:v>
      </x:c>
      <x:c r="C4" t="str">
        <x:v>Jurídico</x:v>
      </x:c>
      <x:c r="D4" t="str">
        <x:v>Compliance ok</x:v>
      </x:c>
    </x:row>
    <x:row r="5">
      <x:c r="A5" t="str">
        <x:v>7 dias</x:v>
      </x:c>
      <x:c r="B5" t="str">
        <x:v>Montar funil e criativos de mídia; definir CPL alvo</x:v>
      </x:c>
      <x:c r="C5" t="str">
        <x:v>Marketing</x:v>
      </x:c>
      <x:c r="D5" t="str">
        <x:v>Campanha no ar</x:v>
      </x:c>
    </x:row>
    <x:row r="6">
      <x:c r="A6" t="str">
        <x:v>30 dias</x:v>
      </x:c>
      <x:c r="B6" t="str">
        <x:v>Contratar e treinar time comercial (SDR/Closer)</x:v>
      </x:c>
      <x:c r="C6" t="str">
        <x:v>Comercial</x:v>
      </x:c>
      <x:c r="D6" t="str">
        <x:v>Equipe operante</x:v>
      </x:c>
    </x:row>
    <x:row r="7">
      <x:c r="A7" t="str">
        <x:v>30 dias</x:v>
      </x:c>
      <x:c r="B7" t="str">
        <x:v>Piloto com 10-15 carros ativos</x:v>
      </x:c>
      <x:c r="C7" t="str">
        <x:v>Operação</x:v>
      </x:c>
      <x:c r="D7" t="str">
        <x:v>Processo de entrega validado</x:v>
      </x:c>
    </x:row>
    <x:row r="8">
      <x:c r="A8" t="str">
        <x:v>30 dias</x:v>
      </x:c>
      <x:c r="B8" t="str">
        <x:v>Implantar telemetria, débito recorrente e caução</x:v>
      </x:c>
      <x:c r="C8" t="str">
        <x:v>Operação/Financeiro</x:v>
      </x:c>
      <x:c r="D8" t="str">
        <x:v>Cobrança automatizada</x:v>
      </x:c>
    </x:row>
    <x:row r="9">
      <x:c r="A9" t="str">
        <x:v>60 dias</x:v>
      </x:c>
      <x:c r="B9" t="str">
        <x:v>Escalar para ~40-50 carros ativos</x:v>
      </x:c>
      <x:c r="C9" t="str">
        <x:v>Operação</x:v>
      </x:c>
      <x:c r="D9" t="str">
        <x:v>Ocupação &gt; 85%</x:v>
      </x:c>
    </x:row>
    <x:row r="10">
      <x:c r="A10" t="str">
        <x:v>60 dias</x:v>
      </x:c>
      <x:c r="B10" t="str">
        <x:v>Otimizar CAC e taxa de aprovação</x:v>
      </x:c>
      <x:c r="C10" t="str">
        <x:v>Mkt/Crédito</x:v>
      </x:c>
      <x:c r="D10" t="str">
        <x:v>CAC dentro da meta</x:v>
      </x:c>
    </x:row>
    <x:row r="11">
      <x:c r="A11" t="str">
        <x:v>60 dias</x:v>
      </x:c>
      <x:c r="B11" t="str">
        <x:v>Estruturar suporte/CS e SLA</x:v>
      </x:c>
      <x:c r="C11" t="str">
        <x:v>CS</x:v>
      </x:c>
      <x:c r="D11" t="str">
        <x:v>NPS medido</x:v>
      </x:c>
    </x:row>
    <x:row r="12">
      <x:c r="A12" t="str">
        <x:v>90 dias</x:v>
      </x:c>
      <x:c r="B12" t="str">
        <x:v>Atingir ~90 carros ativos (frota cheia)</x:v>
      </x:c>
      <x:c r="C12" t="str">
        <x:v>Operação</x:v>
      </x:c>
      <x:c r="D12" t="str">
        <x:v>Break-even superado</x:v>
      </x:c>
    </x:row>
    <x:row r="13">
      <x:c r="A13" t="str">
        <x:v>90 dias</x:v>
      </x:c>
      <x:c r="B13" t="str">
        <x:v>Lançar receita complementar de consórcio</x:v>
      </x:c>
      <x:c r="C13" t="str">
        <x:v>Comercial</x:v>
      </x:c>
      <x:c r="D13" t="str">
        <x:v>Receita adicional &gt; 0</x:v>
      </x:c>
    </x:row>
    <x:row r="14">
      <x:c r="A14" t="str">
        <x:v>90 dias</x:v>
      </x:c>
      <x:c r="B14" t="str">
        <x:v>Fechar 1º trimestre no azul de EBITDA</x:v>
      </x:c>
      <x:c r="C14" t="str">
        <x:v>Diretoria</x:v>
      </x:c>
      <x:c r="D14" t="str">
        <x:v>EBITDA positivo</x:v>
      </x:c>
    </x:row>
    <x:row r="15">
      <x:c r="A15" t="str">
        <x:v>12 meses</x:v>
      </x:c>
      <x:c r="B15" t="str">
        <x:v>Renovar frota e negociar 2ª leva de veículos</x:v>
      </x:c>
      <x:c r="C15" t="str">
        <x:v>Diretoria</x:v>
      </x:c>
      <x:c r="D15" t="str">
        <x:v>Expansão contratada</x:v>
      </x:c>
    </x:row>
    <x:row r="16">
      <x:c r="A16" t="str">
        <x:v>12 meses</x:v>
      </x:c>
      <x:c r="B16" t="str">
        <x:v>Consolidar LTV/CAC &gt; 3 e churn &lt; 6%</x:v>
      </x:c>
      <x:c r="C16" t="str">
        <x:v>Comercial/CS</x:v>
      </x:c>
      <x:c r="D16" t="str">
        <x:v>Unit economics saudável</x:v>
      </x:c>
    </x:row>
    <x:row r="17">
      <x:c r="A17" t="str">
        <x:v>12 meses</x:v>
      </x:c>
      <x:c r="B17" t="str">
        <x:v>Avaliar expansão para nova praça/cidade</x:v>
      </x:c>
      <x:c r="C17" t="str">
        <x:v>Diretoria</x:v>
      </x:c>
      <x:c r="D17" t="str">
        <x:v>Plano de expansão</x:v>
      </x:c>
    </x:row>
  </x:sheetData>
  <x:mergeCells>
    <x:mergeCell ref="A1:D1"/>
  </x:mergeCells>
  <x:pageMargins left="0.7" right="0.7" top="0.75" bottom="0.75" header="0.3" footer="0.3"/>
</x:worksheet>
</file>