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missas" sheetId="1" r:id="rId1"/>
    <sheet name="Frota" sheetId="2" r:id="rId2"/>
    <sheet name="Motoristas" sheetId="3" r:id="rId3"/>
    <sheet name="Marketing" sheetId="4" r:id="rId4"/>
    <sheet name="Funil" sheetId="5" r:id="rId5"/>
    <sheet name="Equipe" sheetId="6" r:id="rId6"/>
    <sheet name="Consorcio" sheetId="7" r:id="rId7"/>
    <sheet name="Custos" sheetId="8" r:id="rId8"/>
    <sheet name="DRE" sheetId="9" r:id="rId9"/>
    <sheet name="Fluxo" sheetId="10" r:id="rId10"/>
    <sheet name="Unit" sheetId="11" r:id="rId11"/>
    <sheet name="Cenarios" sheetId="12" r:id="rId12"/>
    <sheet name="Sensibilidade" sheetId="13" r:id="rId13"/>
    <sheet name="Dashboard" sheetId="14" r:id="rId14"/>
    <sheet name="Riscos" sheetId="15" r:id="rId15"/>
    <sheet name="Roadmap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&quot;R$&quot; #,##0"/>
    <numFmt numFmtId="61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cols>
    <col min="1" max="1" width="34.83203125" customWidth="1"/>
    <col min="2" max="2" width="14.83203125" customWidth="1"/>
    <col min="3" max="3" width="10.83203125" customWidth="1"/>
    <col min="4" max="4" width="66.83203125" customWidth="1"/>
  </cols>
  <sheetData>
    <row r="1">
      <c r="A1" t="str">
        <v>INTENSE DRIVE — PREMISSAS DO MODELO FINANCEIRO</v>
      </c>
    </row>
    <row r="2">
      <c r="A2" t="str">
        <v>Locação de 100 BYD Dolphin Mini para motoristas de aplicativo</v>
      </c>
    </row>
    <row r="3">
      <c r="A3" t="str">
        <v>OBS: Valores são premissas iniciais editáveis; itens marcados 'a validar' exigem confirmação com locadora, contador e jurídico.</v>
      </c>
    </row>
    <row r="4">
      <c r="A4" t="str">
        <v>Variável</v>
      </c>
      <c r="B4" t="str">
        <v>Valor</v>
      </c>
      <c r="C4" t="str">
        <v>Unidade</v>
      </c>
      <c r="D4" t="str">
        <v>Observação / premissa a validar</v>
      </c>
    </row>
    <row r="5">
      <c r="A5" t="str">
        <v>Total de carros (frota)</v>
      </c>
      <c r="B5">
        <v>100</v>
      </c>
      <c r="C5" t="str">
        <v>un</v>
      </c>
      <c r="D5" t="str">
        <v>Capacidade contratada da frota</v>
      </c>
    </row>
    <row r="6">
      <c r="A6" t="str">
        <v>Custo aluguel do veículo /mês</v>
      </c>
      <c r="B6" s="1">
        <v>2800</v>
      </c>
      <c r="C6" t="str">
        <v>R$</v>
      </c>
      <c r="D6" t="str">
        <v>PREMISSA A VALIDAR com locadora (uso app/PJ, frota 100un)</v>
      </c>
    </row>
    <row r="7">
      <c r="A7" t="str">
        <v>Seguro /mês</v>
      </c>
      <c r="B7" s="1">
        <v>0</v>
      </c>
      <c r="C7" t="str">
        <v>R$</v>
      </c>
      <c r="D7" t="str">
        <v>Assumido incluso no aluguel — VALIDAR</v>
      </c>
    </row>
    <row r="8">
      <c r="A8" t="str">
        <v>Telemetria /mês</v>
      </c>
      <c r="B8" s="1">
        <v>45</v>
      </c>
      <c r="C8" t="str">
        <v>R$</v>
      </c>
      <c r="D8" t="str">
        <v>Rastreador + plataforma por carro</v>
      </c>
    </row>
    <row r="9">
      <c r="A9" t="str">
        <v>Manutenção /mês</v>
      </c>
      <c r="B9" s="1">
        <v>150</v>
      </c>
      <c r="C9" t="str">
        <v>R$</v>
      </c>
      <c r="D9" t="str">
        <v>Provisão por carro</v>
      </c>
    </row>
    <row r="10">
      <c r="A10" t="str">
        <v>Pneus /mês</v>
      </c>
      <c r="B10" s="1">
        <v>60</v>
      </c>
      <c r="C10" t="str">
        <v>R$</v>
      </c>
      <c r="D10" t="str">
        <v>Provisão por carro</v>
      </c>
    </row>
    <row r="11">
      <c r="A11" t="str">
        <v>Lavagem /mês</v>
      </c>
      <c r="B11" s="1">
        <v>80</v>
      </c>
      <c r="C11" t="str">
        <v>R$</v>
      </c>
      <c r="D11" t="str">
        <v>Provisão por carro</v>
      </c>
    </row>
    <row r="12">
      <c r="A12" t="str">
        <v>Pátio/Admin frota /mês</v>
      </c>
      <c r="B12" s="1">
        <v>120</v>
      </c>
      <c r="C12" t="str">
        <v>R$</v>
      </c>
      <c r="D12" t="str">
        <v>Rateio pátio e gestão por carro</v>
      </c>
    </row>
    <row r="13">
      <c r="A13" t="str">
        <v>% carros parados</v>
      </c>
      <c r="B13" s="2">
        <v>0.08</v>
      </c>
      <c r="C13" t="str">
        <v>%</v>
      </c>
      <c r="D13" t="str">
        <v>Inatividade: manutenção/troca</v>
      </c>
    </row>
    <row r="14">
      <c r="A14" t="str">
        <v>% sinistro /mês</v>
      </c>
      <c r="B14" s="2">
        <v>0.015</v>
      </c>
      <c r="C14" t="str">
        <v>%</v>
      </c>
      <c r="D14" t="str">
        <v>Prob. mensal de sinistro por carro — VALIDAR</v>
      </c>
    </row>
    <row r="15">
      <c r="A15" t="str">
        <v>Custo médio de sinistro</v>
      </c>
      <c r="B15" s="1">
        <v>2500</v>
      </c>
      <c r="C15" t="str">
        <v>R$</v>
      </c>
      <c r="D15" t="str">
        <v>Franquia/reparo médio — VALIDAR</v>
      </c>
    </row>
    <row r="16">
      <c r="A16" t="str">
        <v>Taxa de ocupação</v>
      </c>
      <c r="B16" s="2">
        <v>0.92</v>
      </c>
      <c r="C16" t="str">
        <v>%</v>
      </c>
      <c r="D16" t="str">
        <v>% de carros efetivamente locados</v>
      </c>
    </row>
    <row r="17">
      <c r="A17" t="str">
        <v>Valor mensal por motorista</v>
      </c>
      <c r="B17" s="1">
        <v>3900</v>
      </c>
      <c r="C17" t="str">
        <v>R$</v>
      </c>
      <c r="D17" t="str">
        <v>Receita de locação por motorista/mês</v>
      </c>
    </row>
    <row r="18">
      <c r="A18" t="str">
        <v>Taxa de ativação (setup)</v>
      </c>
      <c r="B18" s="1">
        <v>300</v>
      </c>
      <c r="C18" t="str">
        <v>R$</v>
      </c>
      <c r="D18" t="str">
        <v>Cobrança única na entrada</v>
      </c>
    </row>
    <row r="19">
      <c r="A19" t="str">
        <v>Entrada/sinal (caução)</v>
      </c>
      <c r="B19" s="1">
        <v>500</v>
      </c>
      <c r="C19" t="str">
        <v>R$</v>
      </c>
      <c r="D19" t="str">
        <v>Caução REEMBOLSÁVEL — NÃO é receita</v>
      </c>
    </row>
    <row r="20">
      <c r="A20" t="str">
        <v>Churn mensal</v>
      </c>
      <c r="B20" s="2">
        <v>0.06</v>
      </c>
      <c r="C20" t="str">
        <v>%</v>
      </c>
      <c r="D20" t="str">
        <v>% de motoristas que saem por mês</v>
      </c>
    </row>
    <row r="21">
      <c r="A21" t="str">
        <v>Inadimplência mensal</v>
      </c>
      <c r="B21" s="2">
        <v>0.07</v>
      </c>
      <c r="C21" t="str">
        <v>%</v>
      </c>
      <c r="D21" t="str">
        <v>% da receita não paga no mês</v>
      </c>
    </row>
    <row r="22">
      <c r="A22" t="str">
        <v>% recuperação inadimplência</v>
      </c>
      <c r="B22" s="2">
        <v>0.5</v>
      </c>
      <c r="C22" t="str">
        <v>%</v>
      </c>
      <c r="D22" t="str">
        <v>Parte recuperada da inadimplência</v>
      </c>
    </row>
    <row r="23">
      <c r="A23" t="str">
        <v>Prazo médio do contrato</v>
      </c>
      <c r="B23">
        <v>12</v>
      </c>
      <c r="C23" t="str">
        <v>meses</v>
      </c>
      <c r="D23" t="str">
        <v>Duração média do contrato</v>
      </c>
    </row>
    <row r="24">
      <c r="A24" t="str">
        <v>CPL (custo por lead)</v>
      </c>
      <c r="B24" s="1">
        <v>20</v>
      </c>
      <c r="C24" t="str">
        <v>R$</v>
      </c>
      <c r="D24" t="str">
        <v>Custo por lead de marketing</v>
      </c>
    </row>
    <row r="25">
      <c r="A25" t="str">
        <v>Investimento marketing /mês</v>
      </c>
      <c r="B25" s="1">
        <v>30000</v>
      </c>
      <c r="C25" t="str">
        <v>R$</v>
      </c>
      <c r="D25" t="str">
        <v>Verba mensal de mídia</v>
      </c>
    </row>
    <row r="26">
      <c r="A26" t="str">
        <v>Taxa lead → grupo</v>
      </c>
      <c r="B26" s="2">
        <v>0.5</v>
      </c>
      <c r="C26" t="str">
        <v>%</v>
      </c>
      <c r="D26" t="str">
        <v>Conversão lead para grupo</v>
      </c>
    </row>
    <row r="27">
      <c r="A27" t="str">
        <v>Taxa grupo → webinar</v>
      </c>
      <c r="B27" s="2">
        <v>0.35</v>
      </c>
      <c r="C27" t="str">
        <v>%</v>
      </c>
      <c r="D27" t="str">
        <v>Conversão grupo para webinar</v>
      </c>
    </row>
    <row r="28">
      <c r="A28" t="str">
        <v>Taxa de comparecimento</v>
      </c>
      <c r="B28" s="2">
        <v>0.5</v>
      </c>
      <c r="C28" t="str">
        <v>%</v>
      </c>
      <c r="D28" t="str">
        <v>Presença no webinar</v>
      </c>
    </row>
    <row r="29">
      <c r="A29" t="str">
        <v>Taxa de aplicação</v>
      </c>
      <c r="B29" s="2">
        <v>0.4</v>
      </c>
      <c r="C29" t="str">
        <v>%</v>
      </c>
      <c r="D29" t="str">
        <v>Preenche aplicação/cadastro</v>
      </c>
    </row>
    <row r="30">
      <c r="A30" t="str">
        <v>Taxa de aprovação (crédito)</v>
      </c>
      <c r="B30" s="2">
        <v>0.5</v>
      </c>
      <c r="C30" t="str">
        <v>%</v>
      </c>
      <c r="D30" t="str">
        <v>Aprovados na análise</v>
      </c>
    </row>
    <row r="31">
      <c r="A31" t="str">
        <v>Taxa de fechamento</v>
      </c>
      <c r="B31" s="2">
        <v>0.4</v>
      </c>
      <c r="C31" t="str">
        <v>%</v>
      </c>
      <c r="D31" t="str">
        <v>Aprovados que assinam contrato</v>
      </c>
    </row>
    <row r="32">
      <c r="A32" t="str">
        <v>Leads por SDR /mês</v>
      </c>
      <c r="B32">
        <v>400</v>
      </c>
      <c r="C32" t="str">
        <v>un</v>
      </c>
      <c r="D32" t="str">
        <v>Capacidade de um SDR</v>
      </c>
    </row>
    <row r="33">
      <c r="A33" t="str">
        <v>Oportunidades por Closer /mês</v>
      </c>
      <c r="B33">
        <v>120</v>
      </c>
      <c r="C33" t="str">
        <v>un</v>
      </c>
      <c r="D33" t="str">
        <v>Capacidade de um closer</v>
      </c>
    </row>
    <row r="34">
      <c r="A34" t="str">
        <v>Entregas por Operador /mês</v>
      </c>
      <c r="B34">
        <v>40</v>
      </c>
      <c r="C34" t="str">
        <v>un</v>
      </c>
      <c r="D34" t="str">
        <v>Capacidade de entrega de veículos</v>
      </c>
    </row>
    <row r="35">
      <c r="A35" t="str">
        <v>Aplicações por Analista /mês</v>
      </c>
      <c r="B35">
        <v>250</v>
      </c>
      <c r="C35" t="str">
        <v>un</v>
      </c>
      <c r="D35" t="str">
        <v>Capacidade de análise de crédito</v>
      </c>
    </row>
    <row r="36">
      <c r="A36" t="str">
        <v>Salário SDR</v>
      </c>
      <c r="B36" s="1">
        <v>2500</v>
      </c>
      <c r="C36" t="str">
        <v>R$</v>
      </c>
      <c r="D36" t="str">
        <v>Custo mensal por SDR</v>
      </c>
    </row>
    <row r="37">
      <c r="A37" t="str">
        <v>Salário Closer</v>
      </c>
      <c r="B37" s="1">
        <v>3500</v>
      </c>
      <c r="C37" t="str">
        <v>R$</v>
      </c>
      <c r="D37" t="str">
        <v>Custo mensal por closer (fixo)</v>
      </c>
    </row>
    <row r="38">
      <c r="A38" t="str">
        <v>Comissão por contrato</v>
      </c>
      <c r="B38" s="1">
        <v>200</v>
      </c>
      <c r="C38" t="str">
        <v>R$</v>
      </c>
      <c r="D38" t="str">
        <v>Comissão variável por contrato fechado</v>
      </c>
    </row>
    <row r="39">
      <c r="A39" t="str">
        <v>Salário Gerente Comercial</v>
      </c>
      <c r="B39" s="1">
        <v>8000</v>
      </c>
      <c r="C39" t="str">
        <v>R$</v>
      </c>
      <c r="D39" t="str">
        <v>1 gerente comercial</v>
      </c>
    </row>
    <row r="40">
      <c r="A40" t="str">
        <v>Salário Atendente</v>
      </c>
      <c r="B40" s="1">
        <v>2500</v>
      </c>
      <c r="C40" t="str">
        <v>R$</v>
      </c>
      <c r="D40" t="str">
        <v>Custo mensal por atendente</v>
      </c>
    </row>
    <row r="41">
      <c r="A41" t="str">
        <v>Carros por Gestor de Frota</v>
      </c>
      <c r="B41">
        <v>60</v>
      </c>
      <c r="C41" t="str">
        <v>un</v>
      </c>
      <c r="D41" t="str">
        <v>Span de controle da frota</v>
      </c>
    </row>
    <row r="42">
      <c r="A42" t="str">
        <v>Salário Gestor de Frota</v>
      </c>
      <c r="B42" s="1">
        <v>4000</v>
      </c>
      <c r="C42" t="str">
        <v>R$</v>
      </c>
      <c r="D42" t="str">
        <v>Custo mensal por gestor</v>
      </c>
    </row>
    <row r="43">
      <c r="A43" t="str">
        <v>Salário Operador (frota)</v>
      </c>
      <c r="B43" s="1">
        <v>2500</v>
      </c>
      <c r="C43" t="str">
        <v>R$</v>
      </c>
      <c r="D43" t="str">
        <v>Custo mensal por operador</v>
      </c>
    </row>
    <row r="44">
      <c r="A44" t="str">
        <v>Salário Analista (crédito)</v>
      </c>
      <c r="B44" s="1">
        <v>3000</v>
      </c>
      <c r="C44" t="str">
        <v>R$</v>
      </c>
      <c r="D44" t="str">
        <v>Custo mensal por analista</v>
      </c>
    </row>
    <row r="45">
      <c r="A45" t="str">
        <v>Tickets por motorista /mês</v>
      </c>
      <c r="B45">
        <v>1.2</v>
      </c>
      <c r="C45" t="str">
        <v>un</v>
      </c>
      <c r="D45" t="str">
        <v>Volume de atendimento</v>
      </c>
    </row>
    <row r="46">
      <c r="A46" t="str">
        <v>Capacidade tickets/atendente</v>
      </c>
      <c r="B46">
        <v>700</v>
      </c>
      <c r="C46" t="str">
        <v>un</v>
      </c>
      <c r="D46" t="str">
        <v>Tickets que 1 atendente resolve/mês</v>
      </c>
    </row>
    <row r="47">
      <c r="A47" t="str">
        <v>% interessados em consórcio</v>
      </c>
      <c r="B47" s="2">
        <v>0.2</v>
      </c>
      <c r="C47" t="str">
        <v>%</v>
      </c>
      <c r="D47" t="str">
        <v>Base que demonstra interesse</v>
      </c>
    </row>
    <row r="48">
      <c r="A48" t="str">
        <v>Taxa conversão consórcio</v>
      </c>
      <c r="B48" s="2">
        <v>0.15</v>
      </c>
      <c r="C48" t="str">
        <v>%</v>
      </c>
      <c r="D48" t="str">
        <v>Interessados que fecham consórcio</v>
      </c>
    </row>
    <row r="49">
      <c r="A49" t="str">
        <v>Comissão média consórcio</v>
      </c>
      <c r="B49" s="1">
        <v>1200</v>
      </c>
      <c r="C49" t="str">
        <v>R$</v>
      </c>
      <c r="D49" t="str">
        <v>Receita por adesão de consórcio</v>
      </c>
    </row>
    <row r="50">
      <c r="A50" t="str">
        <v>% cancelamento consórcio</v>
      </c>
      <c r="B50" s="2">
        <v>0.15</v>
      </c>
      <c r="C50" t="str">
        <v>%</v>
      </c>
      <c r="D50" t="str">
        <v>Provisão de cancelamento/estorno</v>
      </c>
    </row>
    <row r="51">
      <c r="A51" t="str">
        <v>Custo compliance por operação</v>
      </c>
      <c r="B51" s="1">
        <v>100</v>
      </c>
      <c r="C51" t="str">
        <v>R$</v>
      </c>
      <c r="D51" t="str">
        <v>Custo de compliance por adesão</v>
      </c>
    </row>
    <row r="52">
      <c r="A52" t="str">
        <v>Impostos sobre receita</v>
      </c>
      <c r="B52" s="2">
        <v>0.15</v>
      </c>
      <c r="C52" t="str">
        <v>%</v>
      </c>
      <c r="D52" t="str">
        <v>Simples/impostos sobre faturamento</v>
      </c>
    </row>
    <row r="53">
      <c r="A53" t="str">
        <v>Despesas administrativas /mês</v>
      </c>
      <c r="B53" s="1">
        <v>25000</v>
      </c>
      <c r="C53" t="str">
        <v>R$</v>
      </c>
      <c r="D53" t="str">
        <v>Aluguel, contabilidade, back-office</v>
      </c>
    </row>
    <row r="54">
      <c r="A54" t="str">
        <v>Ferramentas/Software /mês</v>
      </c>
      <c r="B54" s="1">
        <v>5000</v>
      </c>
      <c r="C54" t="str">
        <v>R$</v>
      </c>
      <c r="D54" t="str">
        <v>CRM, ERP, telefonia, cloud</v>
      </c>
    </row>
    <row r="55">
      <c r="A55" t="str">
        <v>Caixa inicial</v>
      </c>
      <c r="B55" s="1">
        <v>300000</v>
      </c>
      <c r="C55" t="str">
        <v>R$</v>
      </c>
      <c r="D55" t="str">
        <v>Capital disponível no mês 0</v>
      </c>
    </row>
  </sheetData>
  <mergeCells count="3">
    <mergeCell ref="A1:D1"/>
    <mergeCell ref="A2:D2"/>
    <mergeCell ref="A3:D3"/>
  </mergeCells>
  <ignoredErrors>
    <ignoredError numberStoredAsText="1" sqref="A1:D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44.83203125" customWidth="1"/>
    <col min="2" max="2" width="20.83203125" customWidth="1"/>
    <col min="3" max="3" width="10.83203125" customWidth="1"/>
  </cols>
  <sheetData>
    <row r="1">
      <c r="A1" t="str">
        <v>FROTA — CUSTOS E OPERAÇÃO</v>
      </c>
    </row>
    <row r="2">
      <c r="A2" t="str">
        <v>Indicador</v>
      </c>
      <c r="B2" t="str">
        <v>Fórmula / Valor</v>
      </c>
      <c r="C2" t="str">
        <v>Unidade</v>
      </c>
    </row>
    <row r="3">
      <c r="A3" t="str">
        <v>Total de carros contratados</v>
      </c>
      <c r="B3">
        <f>Premissas!$B$5</f>
      </c>
      <c r="C3" t="str">
        <v>un</v>
      </c>
    </row>
    <row r="4">
      <c r="A4" t="str">
        <v>% carros parados</v>
      </c>
      <c r="B4">
        <f>Premissas!$B$13</f>
      </c>
      <c r="C4" t="str">
        <v>%</v>
      </c>
    </row>
    <row r="5">
      <c r="A5" t="str">
        <v>Carros disponíveis</v>
      </c>
      <c r="B5">
        <f>Premissas!$B$5*(1-Premissas!$B$13)</f>
      </c>
      <c r="C5" t="str">
        <v>un</v>
      </c>
    </row>
    <row r="6">
      <c r="A6" t="str">
        <v>Taxa de ocupação</v>
      </c>
      <c r="B6">
        <f>Premissas!$B$16</f>
      </c>
      <c r="C6" t="str">
        <v>%</v>
      </c>
    </row>
    <row r="7">
      <c r="A7" t="str">
        <v>Carros ativos (locados)</v>
      </c>
      <c r="B7">
        <f>Premissas!$B$5*(1-Premissas!$B$13)*Premissas!$B$16</f>
      </c>
      <c r="C7" t="str">
        <v>un</v>
      </c>
    </row>
    <row r="8">
      <c r="A8" t="str">
        <v>Custo aluguel por carro /mês</v>
      </c>
      <c r="B8">
        <f>Premissas!$B$6</f>
      </c>
      <c r="C8" t="str">
        <v>R$</v>
      </c>
    </row>
    <row r="9">
      <c r="A9" t="str">
        <v>Seguro por carro /mês</v>
      </c>
      <c r="B9">
        <f>Premissas!$B$7</f>
      </c>
      <c r="C9" t="str">
        <v>R$</v>
      </c>
    </row>
    <row r="10">
      <c r="A10" t="str">
        <v>Telemetria por carro /mês</v>
      </c>
      <c r="B10">
        <f>Premissas!$B$8</f>
      </c>
      <c r="C10" t="str">
        <v>R$</v>
      </c>
    </row>
    <row r="11">
      <c r="A11" t="str">
        <v>Manutenção por carro /mês</v>
      </c>
      <c r="B11">
        <f>Premissas!$B$9</f>
      </c>
      <c r="C11" t="str">
        <v>R$</v>
      </c>
    </row>
    <row r="12">
      <c r="A12" t="str">
        <v>Pneus por carro /mês</v>
      </c>
      <c r="B12">
        <f>Premissas!$B$10</f>
      </c>
      <c r="C12" t="str">
        <v>R$</v>
      </c>
    </row>
    <row r="13">
      <c r="A13" t="str">
        <v>Lavagem por carro /mês</v>
      </c>
      <c r="B13">
        <f>Premissas!$B$11</f>
      </c>
      <c r="C13" t="str">
        <v>R$</v>
      </c>
    </row>
    <row r="14">
      <c r="A14" t="str">
        <v>Pátio/Admin por carro /mês</v>
      </c>
      <c r="B14">
        <f>Premissas!$B$12</f>
      </c>
      <c r="C14" t="str">
        <v>R$</v>
      </c>
    </row>
    <row r="15">
      <c r="A15" t="str">
        <v>Custo total por carro /mês</v>
      </c>
      <c r="B15">
        <f>Premissas!$B$6+Premissas!$B$7+Premissas!$B$8+Premissas!$B$9+Premissas!$B$10+Premissas!$B$11+Premissas!$B$12</f>
      </c>
      <c r="C15" t="str">
        <v>R$</v>
      </c>
    </row>
    <row r="16">
      <c r="A16" t="str">
        <v>Custo total da frota /mês (todos os carros)</v>
      </c>
      <c r="B16">
        <f>B15*B3</f>
      </c>
      <c r="C16" t="str">
        <v>R$</v>
      </c>
    </row>
    <row r="17">
      <c r="A17" t="str">
        <v>Sinistros esperados /mês</v>
      </c>
      <c r="B17">
        <f>B3*Premissas!$B$14</f>
      </c>
      <c r="C17" t="str">
        <v>un</v>
      </c>
    </row>
    <row r="18">
      <c r="A18" t="str">
        <v>Custo esperado de sinistros /mês</v>
      </c>
      <c r="B18">
        <f>B3*Premissas!$B$14*Premissas!$B$15</f>
      </c>
      <c r="C18" t="str">
        <v>R$</v>
      </c>
    </row>
    <row r="19">
      <c r="A19" t="str">
        <v>Custo de inatividade /mês (carros parados)</v>
      </c>
      <c r="B19">
        <f>Premissas!$B$5*Premissas!$B$13*B15</f>
      </c>
      <c r="C19" t="str">
        <v>R$</v>
      </c>
    </row>
    <row r="20">
      <c r="A20" t="str">
        <v>Custo operacional frota /mês (total + sinistros)</v>
      </c>
      <c r="B20">
        <f>B16+B18</f>
      </c>
      <c r="C20" t="str">
        <v>R$</v>
      </c>
    </row>
  </sheetData>
  <mergeCells count="1">
    <mergeCell ref="A1:C1"/>
  </mergeCells>
  <ignoredErrors>
    <ignoredError numberStoredAsText="1" sqref="A1:C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44.83203125" customWidth="1"/>
    <col min="2" max="2" width="18.83203125" customWidth="1"/>
    <col min="3" max="3" width="10.83203125" customWidth="1"/>
  </cols>
  <sheetData>
    <row r="1">
      <c r="A1" t="str">
        <v>MOTORISTAS — RECEITA E RETENÇÃO</v>
      </c>
    </row>
    <row r="2">
      <c r="A2" t="str">
        <v>Indicador</v>
      </c>
      <c r="B2" t="str">
        <v>Fórmula / Valor</v>
      </c>
      <c r="C2" t="str">
        <v>Unidade</v>
      </c>
    </row>
    <row r="3">
      <c r="A3" t="str">
        <v>Carros ativos (locados)</v>
      </c>
      <c r="B3">
        <f>Frota!B7</f>
      </c>
      <c r="C3" t="str">
        <v>un</v>
      </c>
    </row>
    <row r="4">
      <c r="A4" t="str">
        <v>Valor mensal por motorista</v>
      </c>
      <c r="B4">
        <f>Premissas!$B$17</f>
      </c>
      <c r="C4" t="str">
        <v>R$</v>
      </c>
    </row>
    <row r="5">
      <c r="A5" t="str">
        <v>Receita bruta locação /mês</v>
      </c>
      <c r="B5">
        <f>B3*B4</f>
      </c>
      <c r="C5" t="str">
        <v>R$</v>
      </c>
    </row>
    <row r="6">
      <c r="A6" t="str">
        <v>Churn mensal</v>
      </c>
      <c r="B6">
        <f>Premissas!$B$20</f>
      </c>
      <c r="C6" t="str">
        <v>%</v>
      </c>
    </row>
    <row r="7">
      <c r="A7" t="str">
        <v>Motoristas perdidos /mês (churn)</v>
      </c>
      <c r="B7">
        <f>B3*Premissas!$B$20</f>
      </c>
      <c r="C7" t="str">
        <v>un</v>
      </c>
    </row>
    <row r="8">
      <c r="A8" t="str">
        <v>Perda de receita por churn /mês</v>
      </c>
      <c r="B8">
        <f>B7*B4</f>
      </c>
      <c r="C8" t="str">
        <v>R$</v>
      </c>
    </row>
    <row r="9">
      <c r="A9" t="str">
        <v>Inadimplência mensal</v>
      </c>
      <c r="B9">
        <f>Premissas!$B$21</f>
      </c>
      <c r="C9" t="str">
        <v>%</v>
      </c>
    </row>
    <row r="10">
      <c r="A10" t="str">
        <v>Receita inadimplente /mês</v>
      </c>
      <c r="B10">
        <f>B5*Premissas!$B$21</f>
      </c>
      <c r="C10" t="str">
        <v>R$</v>
      </c>
    </row>
    <row r="11">
      <c r="A11" t="str">
        <v>% recuperação inadimplência</v>
      </c>
      <c r="B11">
        <f>Premissas!$B$22</f>
      </c>
      <c r="C11" t="str">
        <v>%</v>
      </c>
    </row>
    <row r="12">
      <c r="A12" t="str">
        <v>Perda líquida por inadimplência /mês</v>
      </c>
      <c r="B12">
        <f>B10*(1-Premissas!$B$22)</f>
      </c>
      <c r="C12" t="str">
        <v>R$</v>
      </c>
    </row>
    <row r="13">
      <c r="A13" t="str">
        <v>Taxa de ativação (setup) por motorista</v>
      </c>
      <c r="B13">
        <f>Premissas!$B$18</f>
      </c>
      <c r="C13" t="str">
        <v>R$</v>
      </c>
    </row>
    <row r="14">
      <c r="A14" t="str">
        <v>Vida média do cliente (1/churn)</v>
      </c>
      <c r="B14">
        <f>1/Premissas!$B$20</f>
      </c>
      <c r="C14" t="str">
        <v>meses</v>
      </c>
    </row>
    <row r="15">
      <c r="A15" t="str">
        <v>Prazo médio de contrato</v>
      </c>
      <c r="B15">
        <f>Premissas!$B$23</f>
      </c>
      <c r="C15" t="str">
        <v>meses</v>
      </c>
    </row>
    <row r="16">
      <c r="A16" t="str">
        <v>Receita por carro ativo /mês (líq. inad.)</v>
      </c>
      <c r="B16">
        <f>B4*(1-Premissas!$B$21*(1-Premissas!$B$22))</f>
      </c>
      <c r="C16" t="str">
        <v>R$</v>
      </c>
    </row>
    <row r="17">
      <c r="A17" t="str">
        <v>LTV por motorista (receita líq. × vida média)</v>
      </c>
      <c r="B17">
        <f>B16*B14</f>
      </c>
      <c r="C17" t="str">
        <v>R$</v>
      </c>
    </row>
  </sheetData>
  <mergeCells count="1">
    <mergeCell ref="A1:C1"/>
  </mergeCells>
  <ignoredErrors>
    <ignoredError numberStoredAsText="1" sqref="A1:C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42.83203125" customWidth="1"/>
    <col min="2" max="2" width="18.83203125" customWidth="1"/>
    <col min="3" max="3" width="10.83203125" customWidth="1"/>
  </cols>
  <sheetData>
    <row r="1">
      <c r="A1" t="str">
        <v>MARKETING — FUNIL DE AQUISIÇÃO</v>
      </c>
    </row>
    <row r="2">
      <c r="A2" t="str">
        <v>Etapa</v>
      </c>
      <c r="B2" t="str">
        <v>Valor / Fórmula</v>
      </c>
      <c r="C2" t="str">
        <v>Unidade</v>
      </c>
    </row>
    <row r="3">
      <c r="A3" t="str">
        <v>Investimento marketing /mês</v>
      </c>
      <c r="B3">
        <f>Premissas!$B$25</f>
      </c>
      <c r="C3" t="str">
        <v>R$</v>
      </c>
    </row>
    <row r="4">
      <c r="A4" t="str">
        <v>CPL (custo por lead)</v>
      </c>
      <c r="B4">
        <f>Premissas!$B$24</f>
      </c>
      <c r="C4" t="str">
        <v>R$</v>
      </c>
    </row>
    <row r="5">
      <c r="A5" t="str">
        <v>Leads gerados</v>
      </c>
      <c r="B5">
        <f>B3/B4</f>
      </c>
      <c r="C5" t="str">
        <v>un</v>
      </c>
    </row>
    <row r="6">
      <c r="A6" t="str">
        <v>→ Grupo (leads × tx)</v>
      </c>
      <c r="B6">
        <f>B5*Premissas!$B$26</f>
      </c>
      <c r="C6" t="str">
        <v>un</v>
      </c>
    </row>
    <row r="7">
      <c r="A7" t="str">
        <v>→ Webinar (grupo × tx)</v>
      </c>
      <c r="B7">
        <f>B6*Premissas!$B$27</f>
      </c>
      <c r="C7" t="str">
        <v>un</v>
      </c>
    </row>
    <row r="8">
      <c r="A8" t="str">
        <v>Comparecimento webinar</v>
      </c>
      <c r="B8">
        <f>B7*Premissas!$B$28</f>
      </c>
      <c r="C8" t="str">
        <v>un</v>
      </c>
    </row>
    <row r="9">
      <c r="A9" t="str">
        <v>Aplicações</v>
      </c>
      <c r="B9">
        <f>B8*Premissas!$B$29</f>
      </c>
      <c r="C9" t="str">
        <v>un</v>
      </c>
    </row>
    <row r="10">
      <c r="A10" t="str">
        <v>Aprovados (crédito)</v>
      </c>
      <c r="B10">
        <f>B9*Premissas!$B$30</f>
      </c>
      <c r="C10" t="str">
        <v>un</v>
      </c>
    </row>
    <row r="11">
      <c r="A11" t="str">
        <v>Contratos fechados /mês</v>
      </c>
      <c r="B11">
        <f>B10*Premissas!$B$31</f>
      </c>
      <c r="C11" t="str">
        <v>un</v>
      </c>
    </row>
    <row r="12">
      <c r="A12" t="str">
        <v>CAC (custo de aquisição por contrato)</v>
      </c>
      <c r="B12">
        <f>B3/B11</f>
      </c>
      <c r="C12" t="str">
        <v>R$</v>
      </c>
    </row>
    <row r="13">
      <c r="A13" t="str">
        <v>Receita 1º mês por contrato</v>
      </c>
      <c r="B13">
        <f>Motoristas!B4+Premissas!$B$18</f>
      </c>
      <c r="C13" t="str">
        <v>R$</v>
      </c>
    </row>
    <row r="14">
      <c r="A14" t="str">
        <v>Receita gerada pelos novos contratos /mês</v>
      </c>
      <c r="B14">
        <f>B11*B13</f>
      </c>
      <c r="C14" t="str">
        <v>R$</v>
      </c>
    </row>
    <row r="15">
      <c r="A15" t="str">
        <v>ROAS (retorno sobre investimento)</v>
      </c>
      <c r="B15">
        <f>B14/B3</f>
      </c>
      <c r="C15" t="str">
        <v>x</v>
      </c>
    </row>
    <row r="16">
      <c r="A16" t="str">
        <v>Conversão total do funil (contratos/leads)</v>
      </c>
      <c r="B16" s="2">
        <f>B11/B5</f>
      </c>
      <c r="C16" t="str">
        <v>%</v>
      </c>
    </row>
  </sheetData>
  <mergeCells count="1">
    <mergeCell ref="A1:C1"/>
  </mergeCells>
  <ignoredErrors>
    <ignoredError numberStoredAsText="1" sqref="A1:C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4.83203125" customWidth="1"/>
    <col min="2" max="2" width="10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FUNIL DE VENDAS — TAXAS E METAS</v>
      </c>
    </row>
    <row r="2">
      <c r="A2" t="str">
        <v>Etapa</v>
      </c>
      <c r="B2" t="str">
        <v>Taxa</v>
      </c>
      <c r="C2" t="str">
        <v>Conservador</v>
      </c>
      <c r="D2" t="str">
        <v>Base</v>
      </c>
      <c r="E2" t="str">
        <v>Agressivo</v>
      </c>
    </row>
    <row r="3">
      <c r="A3" t="str">
        <v>Leads</v>
      </c>
      <c r="B3" t="str">
        <v/>
      </c>
      <c r="C3">
        <f>Marketing!B5*0.7</f>
      </c>
      <c r="D3">
        <f>Marketing!B5</f>
      </c>
      <c r="E3">
        <f>Marketing!B5*1.3</f>
      </c>
    </row>
    <row r="4">
      <c r="A4" t="str">
        <v>Lead → Grupo</v>
      </c>
      <c r="B4">
        <f>Premissas!$B$26</f>
      </c>
      <c r="C4">
        <f>C3*Premissas!$B$26</f>
      </c>
      <c r="D4">
        <f>D3*Premissas!$B$26</f>
      </c>
      <c r="E4">
        <f>E3*Premissas!$B$26</f>
      </c>
    </row>
    <row r="5">
      <c r="A5" t="str">
        <v>Grupo → Webinar</v>
      </c>
      <c r="B5">
        <f>Premissas!$B$27</f>
      </c>
      <c r="C5">
        <f>C4*Premissas!$B$27</f>
      </c>
      <c r="D5">
        <f>D4*Premissas!$B$27</f>
      </c>
      <c r="E5">
        <f>E4*Premissas!$B$27</f>
      </c>
    </row>
    <row r="6">
      <c r="A6" t="str">
        <v>Comparecimento</v>
      </c>
      <c r="B6">
        <f>Premissas!$B$28</f>
      </c>
      <c r="C6">
        <f>C5*Premissas!$B$28</f>
      </c>
      <c r="D6">
        <f>D5*Premissas!$B$28</f>
      </c>
      <c r="E6">
        <f>E5*Premissas!$B$28</f>
      </c>
    </row>
    <row r="7">
      <c r="A7" t="str">
        <v>Aplicação</v>
      </c>
      <c r="B7">
        <f>Premissas!$B$29</f>
      </c>
      <c r="C7">
        <f>C6*Premissas!$B$29</f>
      </c>
      <c r="D7">
        <f>D6*Premissas!$B$29</f>
      </c>
      <c r="E7">
        <f>E6*Premissas!$B$29</f>
      </c>
    </row>
    <row r="8">
      <c r="A8" t="str">
        <v>Aprovação</v>
      </c>
      <c r="B8">
        <f>Premissas!$B$30</f>
      </c>
      <c r="C8">
        <f>C7*Premissas!$B$30</f>
      </c>
      <c r="D8">
        <f>D7*Premissas!$B$30</f>
      </c>
      <c r="E8">
        <f>E7*Premissas!$B$30</f>
      </c>
    </row>
    <row r="9">
      <c r="A9" t="str">
        <v>Fechamento</v>
      </c>
      <c r="B9">
        <f>Premissas!$B$31</f>
      </c>
      <c r="C9">
        <f>C8*0.75</f>
      </c>
      <c r="D9">
        <f>D8*Premissas!$B$31</f>
      </c>
      <c r="E9">
        <f>E8*1.25</f>
      </c>
    </row>
    <row r="10">
      <c r="A10" t="str">
        <v>CONTRATOS /mês</v>
      </c>
      <c r="B10" t="str">
        <v/>
      </c>
      <c r="C10">
        <f>C9</f>
      </c>
      <c r="D10">
        <f>D9</f>
      </c>
      <c r="E10">
        <f>E9</f>
      </c>
    </row>
  </sheetData>
  <mergeCells count="1">
    <mergeCell ref="A1:E1"/>
  </mergeCells>
  <ignoredErrors>
    <ignoredError numberStoredAsText="1" sqref="A1:E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6.83203125" customWidth="1"/>
    <col min="2" max="2" width="20.83203125" customWidth="1"/>
    <col min="3" max="3" width="12.83203125" customWidth="1"/>
    <col min="4" max="4" width="14.83203125" customWidth="1"/>
    <col min="5" max="5" width="18.83203125" customWidth="1"/>
  </cols>
  <sheetData>
    <row r="1">
      <c r="A1" t="str">
        <v>EQUIPE — DIMENSIONAMENTO E CUSTO</v>
      </c>
    </row>
    <row r="2">
      <c r="A2" t="str">
        <v>Função</v>
      </c>
      <c r="B2" t="str">
        <v>Base de cálculo</v>
      </c>
      <c r="C2" t="str">
        <v>Qtde (ceil)</v>
      </c>
      <c r="D2" t="str">
        <v>Salário unit.</v>
      </c>
      <c r="E2" t="str">
        <v>Custo total /mês</v>
      </c>
    </row>
    <row r="3">
      <c r="A3" t="str">
        <v>SDR</v>
      </c>
      <c r="B3">
        <f>Marketing!B5</f>
      </c>
      <c r="C3">
        <f>ROUNDUP(B3/Premissas!$B$32,0)</f>
      </c>
      <c r="D3">
        <f>Premissas!$B$36</f>
      </c>
      <c r="E3">
        <f>C3*D3</f>
      </c>
    </row>
    <row r="4">
      <c r="A4" t="str">
        <v>Closer</v>
      </c>
      <c r="B4">
        <f>Marketing!B11</f>
      </c>
      <c r="C4">
        <f>ROUNDUP(B4/(Premissas!$B$33*Premissas!$B$31),0)</f>
      </c>
      <c r="D4">
        <f>Premissas!$B$37</f>
      </c>
      <c r="E4">
        <f>C4*D4</f>
      </c>
    </row>
    <row r="5">
      <c r="A5" t="str">
        <v>Atendente (suporte)</v>
      </c>
      <c r="B5">
        <f>Frota!B7*Premissas!$B$45</f>
      </c>
      <c r="C5">
        <f>ROUNDUP(B5/Premissas!$B$46,0)</f>
      </c>
      <c r="D5">
        <f>Premissas!$B$40</f>
      </c>
      <c r="E5">
        <f>C5*D5</f>
      </c>
    </row>
    <row r="6">
      <c r="A6" t="str">
        <v>Gestor de Frota</v>
      </c>
      <c r="B6">
        <f>Premissas!$B$5</f>
      </c>
      <c r="C6">
        <f>ROUNDUP(B6/Premissas!$B$41,0)</f>
      </c>
      <c r="D6">
        <f>Premissas!$B$42</f>
      </c>
      <c r="E6">
        <f>C6*D6</f>
      </c>
    </row>
    <row r="7">
      <c r="A7" t="str">
        <v>Operador (entregas)</v>
      </c>
      <c r="B7">
        <f>Marketing!B11</f>
      </c>
      <c r="C7">
        <f>ROUNDUP(B7/Premissas!$B$34,0)</f>
      </c>
      <c r="D7">
        <f>Premissas!$B$43</f>
      </c>
      <c r="E7">
        <f>C7*D7</f>
      </c>
    </row>
    <row r="8">
      <c r="A8" t="str">
        <v>Analista (crédito)</v>
      </c>
      <c r="B8">
        <f>Marketing!B9</f>
      </c>
      <c r="C8">
        <f>ROUNDUP(B8/Premissas!$B$35,0)</f>
      </c>
      <c r="D8">
        <f>Premissas!$B$44</f>
      </c>
      <c r="E8">
        <f>C8*D8</f>
      </c>
    </row>
    <row r="9">
      <c r="A9" t="str">
        <v>Gerente Comercial</v>
      </c>
      <c r="B9" t="str">
        <v>Fixo</v>
      </c>
      <c r="C9">
        <v>1</v>
      </c>
      <c r="D9">
        <f>Premissas!$B$39</f>
      </c>
      <c r="E9">
        <f>C9*D9</f>
      </c>
    </row>
    <row r="10">
      <c r="A10" t="str">
        <v>Comissões (contratos × comissão)</v>
      </c>
      <c r="B10">
        <f>Marketing!B11</f>
      </c>
      <c r="C10" t="str">
        <v/>
      </c>
      <c r="D10">
        <f>Premissas!$B$38</f>
      </c>
      <c r="E10">
        <f>B10*D10</f>
      </c>
    </row>
    <row r="11">
      <c r="A11" t="str">
        <v/>
      </c>
      <c r="B11" t="str">
        <v/>
      </c>
      <c r="C11" t="str">
        <v/>
      </c>
      <c r="D11" t="str">
        <v>TOTAL EQUIPE /mês</v>
      </c>
      <c r="E11">
        <f>SUM(E3:E10)</f>
      </c>
    </row>
  </sheetData>
  <mergeCells count="1">
    <mergeCell ref="A1:E1"/>
  </mergeCells>
  <ignoredErrors>
    <ignoredError numberStoredAsText="1" sqref="A1:E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34.83203125" customWidth="1"/>
    <col min="2" max="2" width="66.83203125" customWidth="1"/>
    <col min="3" max="3" width="10.83203125" customWidth="1"/>
  </cols>
  <sheetData>
    <row r="1">
      <c r="A1" t="str">
        <v>CRÉDITO E CONSÓRCIO — RECEITA COMPLEMENTAR</v>
      </c>
    </row>
    <row r="2">
      <c r="A2" t="str">
        <v>Indicador</v>
      </c>
      <c r="B2" t="str">
        <v>Valor / Fórmula</v>
      </c>
      <c r="C2" t="str">
        <v>Unidade</v>
      </c>
    </row>
    <row r="3">
      <c r="A3" t="str">
        <v>Base de motoristas ativos</v>
      </c>
      <c r="B3">
        <f>Frota!B7</f>
      </c>
      <c r="C3" t="str">
        <v>un</v>
      </c>
    </row>
    <row r="4">
      <c r="A4" t="str">
        <v>% interessados em consórcio</v>
      </c>
      <c r="B4">
        <f>Premissas!$B$47</f>
      </c>
      <c r="C4" t="str">
        <v>%</v>
      </c>
    </row>
    <row r="5">
      <c r="A5" t="str">
        <v>Interessados</v>
      </c>
      <c r="B5">
        <f>B3*Premissas!$B$47</f>
      </c>
      <c r="C5" t="str">
        <v>un</v>
      </c>
    </row>
    <row r="6">
      <c r="A6" t="str">
        <v>Taxa de conversão consórcio</v>
      </c>
      <c r="B6">
        <f>Premissas!$B$48</f>
      </c>
      <c r="C6" t="str">
        <v>%</v>
      </c>
    </row>
    <row r="7">
      <c r="A7" t="str">
        <v>Adesões /mês</v>
      </c>
      <c r="B7">
        <f>B5*Premissas!$B$48</f>
      </c>
      <c r="C7" t="str">
        <v>un</v>
      </c>
    </row>
    <row r="8">
      <c r="A8" t="str">
        <v>Comissão média por adesão</v>
      </c>
      <c r="B8">
        <f>Premissas!$B$49</f>
      </c>
      <c r="C8" t="str">
        <v>R$</v>
      </c>
    </row>
    <row r="9">
      <c r="A9" t="str">
        <v>Receita bruta consórcio /mês</v>
      </c>
      <c r="B9">
        <f>B7*B8</f>
      </c>
      <c r="C9" t="str">
        <v>R$</v>
      </c>
    </row>
    <row r="10">
      <c r="A10" t="str">
        <v>% cancelamento/estorno</v>
      </c>
      <c r="B10">
        <f>Premissas!$B$50</f>
      </c>
      <c r="C10" t="str">
        <v>%</v>
      </c>
    </row>
    <row r="11">
      <c r="A11" t="str">
        <v>Provisão de cancelamento /mês</v>
      </c>
      <c r="B11">
        <f>B9*Premissas!$B$50</f>
      </c>
      <c r="C11" t="str">
        <v>R$</v>
      </c>
    </row>
    <row r="12">
      <c r="A12" t="str">
        <v>Custo compliance por operação</v>
      </c>
      <c r="B12">
        <f>Premissas!$B$51</f>
      </c>
      <c r="C12" t="str">
        <v>R$</v>
      </c>
    </row>
    <row r="13">
      <c r="A13" t="str">
        <v>Custo compliance total /mês</v>
      </c>
      <c r="B13">
        <f>B7*Premissas!$B$51</f>
      </c>
      <c r="C13" t="str">
        <v>R$</v>
      </c>
    </row>
    <row r="14">
      <c r="A14" t="str">
        <v>Receita líquida consórcio /mês</v>
      </c>
      <c r="B14">
        <f>B9-B11-B13</f>
      </c>
      <c r="C14" t="str">
        <v>R$</v>
      </c>
    </row>
    <row r="15">
      <c r="A15" t="str">
        <v>ALERTA COMPLIANCE 1</v>
      </c>
      <c r="B15" t="str">
        <v>Crédito/consórcio: só ofertar via parceiro habilitado (correspondente/administradora autorizada BACEN).</v>
      </c>
    </row>
    <row r="16">
      <c r="A16" t="str">
        <v>ALERTA COMPLIANCE 2</v>
      </c>
      <c r="B16" t="str">
        <v>Proibido prometer aprovação, rendimento ou 'contemplação garantida'. Material deve seguir norma do consórcio.</v>
      </c>
    </row>
    <row r="17">
      <c r="A17" t="str">
        <v>ALERTA COMPLIANCE 3</v>
      </c>
      <c r="B17" t="str">
        <v>Registrar consentimento LGPD para uso de dados na análise de crédito.</v>
      </c>
    </row>
  </sheetData>
  <mergeCells count="1">
    <mergeCell ref="A1:C1"/>
  </mergeCells>
  <ignoredErrors>
    <ignoredError numberStoredAsText="1" sqref="A1:C1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40.83203125" customWidth="1"/>
    <col min="2" max="2" width="18.83203125" customWidth="1"/>
    <col min="3" max="3" width="14.83203125" customWidth="1"/>
  </cols>
  <sheetData>
    <row r="1">
      <c r="A1" t="str">
        <v>CUSTOS OPERACIONAIS — CONSOLIDADO /mês</v>
      </c>
    </row>
    <row r="2">
      <c r="A2" t="str">
        <v>Bloco</v>
      </c>
      <c r="B2" t="str">
        <v>Valor</v>
      </c>
      <c r="C2" t="str">
        <v>Origem</v>
      </c>
    </row>
    <row r="3">
      <c r="A3" t="str">
        <v>Custo operacional de frota</v>
      </c>
      <c r="B3">
        <f>Frota!B20</f>
      </c>
      <c r="C3" t="str">
        <v>Frota</v>
      </c>
    </row>
    <row r="4">
      <c r="A4" t="str">
        <v>Custo total de equipe</v>
      </c>
      <c r="B4">
        <f>Equipe!E12</f>
      </c>
      <c r="C4" t="str">
        <v>Equipe</v>
      </c>
    </row>
    <row r="5">
      <c r="A5" t="str">
        <v>Investimento em marketing</v>
      </c>
      <c r="B5">
        <f>Premissas!$B$25</f>
      </c>
      <c r="C5" t="str">
        <v>Premissas</v>
      </c>
    </row>
    <row r="6">
      <c r="A6" t="str">
        <v>Despesas administrativas</v>
      </c>
      <c r="B6">
        <f>Premissas!$B$53</f>
      </c>
      <c r="C6" t="str">
        <v>Premissas</v>
      </c>
    </row>
    <row r="7">
      <c r="A7" t="str">
        <v>Ferramentas/Software</v>
      </c>
      <c r="B7">
        <f>Premissas!$B$54</f>
      </c>
      <c r="C7" t="str">
        <v>Premissas</v>
      </c>
    </row>
    <row r="8">
      <c r="A8" t="str">
        <v>Perda líquida por inadimplência</v>
      </c>
      <c r="B8">
        <f>Motoristas!B12</f>
      </c>
      <c r="C8" t="str">
        <v>Motoristas</v>
      </c>
    </row>
    <row r="9">
      <c r="A9" t="str">
        <v>Provisões consórcio (cancel.+compliance)</v>
      </c>
      <c r="B9">
        <f>Consorcio!B11+Consorcio!B13</f>
      </c>
      <c r="C9" t="str">
        <v>Consorcio</v>
      </c>
    </row>
    <row r="10">
      <c r="A10" t="str">
        <v>CUSTO OPERACIONAL TOTAL /mês</v>
      </c>
      <c r="B10">
        <f>SUM(B3:B9)</f>
      </c>
      <c r="C10" t="str">
        <v/>
      </c>
    </row>
  </sheetData>
  <mergeCells count="1">
    <mergeCell ref="A1:C1"/>
  </mergeCells>
  <ignoredErrors>
    <ignoredError numberStoredAsText="1" sqref="A1:C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K24"/>
  <sheetViews>
    <sheetView workbookViewId="0"/>
  </sheetViews>
  <cols>
    <col min="1" max="1" width="34.83203125" customWidth="1"/>
    <col min="2" max="2" width="11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  <col min="17" max="17" width="11.83203125" customWidth="1"/>
    <col min="18" max="18" width="11.83203125" customWidth="1"/>
    <col min="19" max="19" width="11.83203125" customWidth="1"/>
    <col min="20" max="20" width="11.83203125" customWidth="1"/>
    <col min="21" max="21" width="11.83203125" customWidth="1"/>
    <col min="22" max="22" width="11.83203125" customWidth="1"/>
    <col min="23" max="23" width="11.83203125" customWidth="1"/>
    <col min="24" max="24" width="11.83203125" customWidth="1"/>
    <col min="25" max="25" width="11.83203125" customWidth="1"/>
    <col min="26" max="26" width="11.83203125" customWidth="1"/>
    <col min="27" max="27" width="11.83203125" customWidth="1"/>
    <col min="28" max="28" width="11.83203125" customWidth="1"/>
    <col min="29" max="29" width="11.83203125" customWidth="1"/>
    <col min="30" max="30" width="11.83203125" customWidth="1"/>
    <col min="31" max="31" width="11.83203125" customWidth="1"/>
    <col min="32" max="32" width="11.83203125" customWidth="1"/>
    <col min="33" max="33" width="11.83203125" customWidth="1"/>
    <col min="34" max="34" width="11.83203125" customWidth="1"/>
    <col min="35" max="35" width="11.83203125" customWidth="1"/>
    <col min="36" max="36" width="11.83203125" customWidth="1"/>
    <col min="37" max="37" width="11.83203125" customWidth="1"/>
  </cols>
  <sheetData>
    <row r="1">
      <c r="A1" t="str">
        <v>DRE MENSAL — 36 MESES (R$)</v>
      </c>
    </row>
    <row r="2">
      <c r="A2" t="str">
        <v>Linha</v>
      </c>
      <c r="B2" t="str">
        <v>M1</v>
      </c>
      <c r="C2" t="str">
        <v>M2</v>
      </c>
      <c r="D2" t="str">
        <v>M3</v>
      </c>
      <c r="E2" t="str">
        <v>M4</v>
      </c>
      <c r="F2" t="str">
        <v>M5</v>
      </c>
      <c r="G2" t="str">
        <v>M6</v>
      </c>
      <c r="H2" t="str">
        <v>M7</v>
      </c>
      <c r="I2" t="str">
        <v>M8</v>
      </c>
      <c r="J2" t="str">
        <v>M9</v>
      </c>
      <c r="K2" t="str">
        <v>M10</v>
      </c>
      <c r="L2" t="str">
        <v>M11</v>
      </c>
      <c r="M2" t="str">
        <v>M12</v>
      </c>
      <c r="N2" t="str">
        <v>M13</v>
      </c>
      <c r="O2" t="str">
        <v>M14</v>
      </c>
      <c r="P2" t="str">
        <v>M15</v>
      </c>
      <c r="Q2" t="str">
        <v>M16</v>
      </c>
      <c r="R2" t="str">
        <v>M17</v>
      </c>
      <c r="S2" t="str">
        <v>M18</v>
      </c>
      <c r="T2" t="str">
        <v>M19</v>
      </c>
      <c r="U2" t="str">
        <v>M20</v>
      </c>
      <c r="V2" t="str">
        <v>M21</v>
      </c>
      <c r="W2" t="str">
        <v>M22</v>
      </c>
      <c r="X2" t="str">
        <v>M23</v>
      </c>
      <c r="Y2" t="str">
        <v>M24</v>
      </c>
      <c r="Z2" t="str">
        <v>M25</v>
      </c>
      <c r="AA2" t="str">
        <v>M26</v>
      </c>
      <c r="AB2" t="str">
        <v>M27</v>
      </c>
      <c r="AC2" t="str">
        <v>M28</v>
      </c>
      <c r="AD2" t="str">
        <v>M29</v>
      </c>
      <c r="AE2" t="str">
        <v>M30</v>
      </c>
      <c r="AF2" t="str">
        <v>M31</v>
      </c>
      <c r="AG2" t="str">
        <v>M32</v>
      </c>
      <c r="AH2" t="str">
        <v>M33</v>
      </c>
      <c r="AI2" t="str">
        <v>M34</v>
      </c>
      <c r="AJ2" t="str">
        <v>M35</v>
      </c>
      <c r="AK2" t="str">
        <v>M36</v>
      </c>
    </row>
    <row r="3">
      <c r="A3" t="str">
        <v>Carros ativos</v>
      </c>
      <c r="B3">
        <f>ROUND(Frota!$B$7*0.15,0)</f>
      </c>
      <c r="C3">
        <f>ROUND(Frota!$B$7*0.35,0)</f>
      </c>
      <c r="D3">
        <f>ROUND(Frota!$B$7*0.55,0)</f>
      </c>
      <c r="E3">
        <f>ROUND(Frota!$B$7*0.72,0)</f>
      </c>
      <c r="F3">
        <f>ROUND(Frota!$B$7*0.86,0)</f>
      </c>
      <c r="G3">
        <f>ROUND(Frota!$B$7*1,0)</f>
      </c>
      <c r="H3">
        <f>ROUND(Frota!$B$7*1,0)</f>
      </c>
      <c r="I3">
        <f>ROUND(Frota!$B$7*1,0)</f>
      </c>
      <c r="J3">
        <f>ROUND(Frota!$B$7*1,0)</f>
      </c>
      <c r="K3">
        <f>ROUND(Frota!$B$7*1,0)</f>
      </c>
      <c r="L3">
        <f>ROUND(Frota!$B$7*1,0)</f>
      </c>
      <c r="M3">
        <f>ROUND(Frota!$B$7*1,0)</f>
      </c>
      <c r="N3">
        <f>ROUND(Frota!$B$7*1,0)</f>
      </c>
      <c r="O3">
        <f>ROUND(Frota!$B$7*1,0)</f>
      </c>
      <c r="P3">
        <f>ROUND(Frota!$B$7*1,0)</f>
      </c>
      <c r="Q3">
        <f>ROUND(Frota!$B$7*1,0)</f>
      </c>
      <c r="R3">
        <f>ROUND(Frota!$B$7*1,0)</f>
      </c>
      <c r="S3">
        <f>ROUND(Frota!$B$7*1,0)</f>
      </c>
      <c r="T3">
        <f>ROUND(Frota!$B$7*1,0)</f>
      </c>
      <c r="U3">
        <f>ROUND(Frota!$B$7*1,0)</f>
      </c>
      <c r="V3">
        <f>ROUND(Frota!$B$7*1,0)</f>
      </c>
      <c r="W3">
        <f>ROUND(Frota!$B$7*1,0)</f>
      </c>
      <c r="X3">
        <f>ROUND(Frota!$B$7*1,0)</f>
      </c>
      <c r="Y3">
        <f>ROUND(Frota!$B$7*1,0)</f>
      </c>
      <c r="Z3">
        <f>ROUND(Frota!$B$7*1,0)</f>
      </c>
      <c r="AA3">
        <f>ROUND(Frota!$B$7*1,0)</f>
      </c>
      <c r="AB3">
        <f>ROUND(Frota!$B$7*1,0)</f>
      </c>
      <c r="AC3">
        <f>ROUND(Frota!$B$7*1,0)</f>
      </c>
      <c r="AD3">
        <f>ROUND(Frota!$B$7*1,0)</f>
      </c>
      <c r="AE3">
        <f>ROUND(Frota!$B$7*1,0)</f>
      </c>
      <c r="AF3">
        <f>ROUND(Frota!$B$7*1,0)</f>
      </c>
      <c r="AG3">
        <f>ROUND(Frota!$B$7*1,0)</f>
      </c>
      <c r="AH3">
        <f>ROUND(Frota!$B$7*1,0)</f>
      </c>
      <c r="AI3">
        <f>ROUND(Frota!$B$7*1,0)</f>
      </c>
      <c r="AJ3">
        <f>ROUND(Frota!$B$7*1,0)</f>
      </c>
      <c r="AK3">
        <f>ROUND(Frota!$B$7*1,0)</f>
      </c>
    </row>
    <row r="4">
      <c r="A4" t="str">
        <v>Receita bruta locação</v>
      </c>
      <c r="B4">
        <f>B3*Premissas!$B$17</f>
      </c>
      <c r="C4">
        <f>C3*Premissas!$B$17</f>
      </c>
      <c r="D4">
        <f>D3*Premissas!$B$17</f>
      </c>
      <c r="E4">
        <f>E3*Premissas!$B$17</f>
      </c>
      <c r="F4">
        <f>F3*Premissas!$B$17</f>
      </c>
      <c r="G4">
        <f>G3*Premissas!$B$17</f>
      </c>
      <c r="H4">
        <f>H3*Premissas!$B$17</f>
      </c>
      <c r="I4">
        <f>I3*Premissas!$B$17</f>
      </c>
      <c r="J4">
        <f>J3*Premissas!$B$17</f>
      </c>
      <c r="K4">
        <f>K3*Premissas!$B$17</f>
      </c>
      <c r="L4">
        <f>L3*Premissas!$B$17</f>
      </c>
      <c r="M4">
        <f>M3*Premissas!$B$17</f>
      </c>
      <c r="N4">
        <f>N3*Premissas!$B$17</f>
      </c>
      <c r="O4">
        <f>O3*Premissas!$B$17</f>
      </c>
      <c r="P4">
        <f>P3*Premissas!$B$17</f>
      </c>
      <c r="Q4">
        <f>Q3*Premissas!$B$17</f>
      </c>
      <c r="R4">
        <f>R3*Premissas!$B$17</f>
      </c>
      <c r="S4">
        <f>S3*Premissas!$B$17</f>
      </c>
      <c r="T4">
        <f>T3*Premissas!$B$17</f>
      </c>
      <c r="U4">
        <f>U3*Premissas!$B$17</f>
      </c>
      <c r="V4">
        <f>V3*Premissas!$B$17</f>
      </c>
      <c r="W4">
        <f>W3*Premissas!$B$17</f>
      </c>
      <c r="X4">
        <f>X3*Premissas!$B$17</f>
      </c>
      <c r="Y4">
        <f>Y3*Premissas!$B$17</f>
      </c>
      <c r="Z4">
        <f>Z3*Premissas!$B$17</f>
      </c>
      <c r="AA4">
        <f>AA3*Premissas!$B$17</f>
      </c>
      <c r="AB4">
        <f>AB3*Premissas!$B$17</f>
      </c>
      <c r="AC4">
        <f>AC3*Premissas!$B$17</f>
      </c>
      <c r="AD4">
        <f>AD3*Premissas!$B$17</f>
      </c>
      <c r="AE4">
        <f>AE3*Premissas!$B$17</f>
      </c>
      <c r="AF4">
        <f>AF3*Premissas!$B$17</f>
      </c>
      <c r="AG4">
        <f>AG3*Premissas!$B$17</f>
      </c>
      <c r="AH4">
        <f>AH3*Premissas!$B$17</f>
      </c>
      <c r="AI4">
        <f>AI3*Premissas!$B$17</f>
      </c>
      <c r="AJ4">
        <f>AJ3*Premissas!$B$17</f>
      </c>
      <c r="AK4">
        <f>AK3*Premissas!$B$17</f>
      </c>
    </row>
    <row r="5">
      <c r="A5" t="str">
        <v>Receita ativação (setup)</v>
      </c>
      <c r="B5">
        <f>Marketing!$B$11*Premissas!$B$18</f>
      </c>
      <c r="C5">
        <f>Marketing!$B$11*Premissas!$B$18</f>
      </c>
      <c r="D5">
        <f>Marketing!$B$11*Premissas!$B$18</f>
      </c>
      <c r="E5">
        <f>Marketing!$B$11*Premissas!$B$18</f>
      </c>
      <c r="F5">
        <f>Marketing!$B$11*Premissas!$B$18</f>
      </c>
      <c r="G5">
        <f>Marketing!$B$11*Premissas!$B$18</f>
      </c>
      <c r="H5">
        <f>Marketing!$B$11*Premissas!$B$18</f>
      </c>
      <c r="I5">
        <f>Marketing!$B$11*Premissas!$B$18</f>
      </c>
      <c r="J5">
        <f>Marketing!$B$11*Premissas!$B$18</f>
      </c>
      <c r="K5">
        <f>Marketing!$B$11*Premissas!$B$18</f>
      </c>
      <c r="L5">
        <f>Marketing!$B$11*Premissas!$B$18</f>
      </c>
      <c r="M5">
        <f>Marketing!$B$11*Premissas!$B$18</f>
      </c>
      <c r="N5">
        <f>Marketing!$B$11*Premissas!$B$18</f>
      </c>
      <c r="O5">
        <f>Marketing!$B$11*Premissas!$B$18</f>
      </c>
      <c r="P5">
        <f>Marketing!$B$11*Premissas!$B$18</f>
      </c>
      <c r="Q5">
        <f>Marketing!$B$11*Premissas!$B$18</f>
      </c>
      <c r="R5">
        <f>Marketing!$B$11*Premissas!$B$18</f>
      </c>
      <c r="S5">
        <f>Marketing!$B$11*Premissas!$B$18</f>
      </c>
      <c r="T5">
        <f>Marketing!$B$11*Premissas!$B$18</f>
      </c>
      <c r="U5">
        <f>Marketing!$B$11*Premissas!$B$18</f>
      </c>
      <c r="V5">
        <f>Marketing!$B$11*Premissas!$B$18</f>
      </c>
      <c r="W5">
        <f>Marketing!$B$11*Premissas!$B$18</f>
      </c>
      <c r="X5">
        <f>Marketing!$B$11*Premissas!$B$18</f>
      </c>
      <c r="Y5">
        <f>Marketing!$B$11*Premissas!$B$18</f>
      </c>
      <c r="Z5">
        <f>Marketing!$B$11*Premissas!$B$18</f>
      </c>
      <c r="AA5">
        <f>Marketing!$B$11*Premissas!$B$18</f>
      </c>
      <c r="AB5">
        <f>Marketing!$B$11*Premissas!$B$18</f>
      </c>
      <c r="AC5">
        <f>Marketing!$B$11*Premissas!$B$18</f>
      </c>
      <c r="AD5">
        <f>Marketing!$B$11*Premissas!$B$18</f>
      </c>
      <c r="AE5">
        <f>Marketing!$B$11*Premissas!$B$18</f>
      </c>
      <c r="AF5">
        <f>Marketing!$B$11*Premissas!$B$18</f>
      </c>
      <c r="AG5">
        <f>Marketing!$B$11*Premissas!$B$18</f>
      </c>
      <c r="AH5">
        <f>Marketing!$B$11*Premissas!$B$18</f>
      </c>
      <c r="AI5">
        <f>Marketing!$B$11*Premissas!$B$18</f>
      </c>
      <c r="AJ5">
        <f>Marketing!$B$11*Premissas!$B$18</f>
      </c>
      <c r="AK5">
        <f>Marketing!$B$11*Premissas!$B$18</f>
      </c>
    </row>
    <row r="6">
      <c r="A6" t="str">
        <v>Receita líq. consórcio</v>
      </c>
      <c r="B6">
        <f>Consorcio!$B$14</f>
      </c>
      <c r="C6">
        <f>Consorcio!$B$14</f>
      </c>
      <c r="D6">
        <f>Consorcio!$B$14</f>
      </c>
      <c r="E6">
        <f>Consorcio!$B$14</f>
      </c>
      <c r="F6">
        <f>Consorcio!$B$14</f>
      </c>
      <c r="G6">
        <f>Consorcio!$B$14</f>
      </c>
      <c r="H6">
        <f>Consorcio!$B$14</f>
      </c>
      <c r="I6">
        <f>Consorcio!$B$14</f>
      </c>
      <c r="J6">
        <f>Consorcio!$B$14</f>
      </c>
      <c r="K6">
        <f>Consorcio!$B$14</f>
      </c>
      <c r="L6">
        <f>Consorcio!$B$14</f>
      </c>
      <c r="M6">
        <f>Consorcio!$B$14</f>
      </c>
      <c r="N6">
        <f>Consorcio!$B$14</f>
      </c>
      <c r="O6">
        <f>Consorcio!$B$14</f>
      </c>
      <c r="P6">
        <f>Consorcio!$B$14</f>
      </c>
      <c r="Q6">
        <f>Consorcio!$B$14</f>
      </c>
      <c r="R6">
        <f>Consorcio!$B$14</f>
      </c>
      <c r="S6">
        <f>Consorcio!$B$14</f>
      </c>
      <c r="T6">
        <f>Consorcio!$B$14</f>
      </c>
      <c r="U6">
        <f>Consorcio!$B$14</f>
      </c>
      <c r="V6">
        <f>Consorcio!$B$14</f>
      </c>
      <c r="W6">
        <f>Consorcio!$B$14</f>
      </c>
      <c r="X6">
        <f>Consorcio!$B$14</f>
      </c>
      <c r="Y6">
        <f>Consorcio!$B$14</f>
      </c>
      <c r="Z6">
        <f>Consorcio!$B$14</f>
      </c>
      <c r="AA6">
        <f>Consorcio!$B$14</f>
      </c>
      <c r="AB6">
        <f>Consorcio!$B$14</f>
      </c>
      <c r="AC6">
        <f>Consorcio!$B$14</f>
      </c>
      <c r="AD6">
        <f>Consorcio!$B$14</f>
      </c>
      <c r="AE6">
        <f>Consorcio!$B$14</f>
      </c>
      <c r="AF6">
        <f>Consorcio!$B$14</f>
      </c>
      <c r="AG6">
        <f>Consorcio!$B$14</f>
      </c>
      <c r="AH6">
        <f>Consorcio!$B$14</f>
      </c>
      <c r="AI6">
        <f>Consorcio!$B$14</f>
      </c>
      <c r="AJ6">
        <f>Consorcio!$B$14</f>
      </c>
      <c r="AK6">
        <f>Consorcio!$B$14</f>
      </c>
    </row>
    <row r="7">
      <c r="A7" t="str">
        <v>(=) RECEITA BRUTA</v>
      </c>
      <c r="B7">
        <f>B4+B5+B6</f>
      </c>
      <c r="C7">
        <f>C4+C5+C6</f>
      </c>
      <c r="D7">
        <f>D4+D5+D6</f>
      </c>
      <c r="E7">
        <f>E4+E5+E6</f>
      </c>
      <c r="F7">
        <f>F4+F5+F6</f>
      </c>
      <c r="G7">
        <f>G4+G5+G6</f>
      </c>
      <c r="H7">
        <f>H4+H5+H6</f>
      </c>
      <c r="I7">
        <f>I4+I5+I6</f>
      </c>
      <c r="J7">
        <f>J4+J5+J6</f>
      </c>
      <c r="K7">
        <f>K4+K5+K6</f>
      </c>
      <c r="L7">
        <f>L4+L5+L6</f>
      </c>
      <c r="M7">
        <f>M4+M5+M6</f>
      </c>
      <c r="N7">
        <f>N4+N5+N6</f>
      </c>
      <c r="O7">
        <f>O4+O5+O6</f>
      </c>
      <c r="P7">
        <f>P4+P5+P6</f>
      </c>
      <c r="Q7">
        <f>Q4+Q5+Q6</f>
      </c>
      <c r="R7">
        <f>R4+R5+R6</f>
      </c>
      <c r="S7">
        <f>S4+S5+S6</f>
      </c>
      <c r="T7">
        <f>T4+T5+T6</f>
      </c>
      <c r="U7">
        <f>U4+U5+U6</f>
      </c>
      <c r="V7">
        <f>V4+V5+V6</f>
      </c>
      <c r="W7">
        <f>W4+W5+W6</f>
      </c>
      <c r="X7">
        <f>X4+X5+X6</f>
      </c>
      <c r="Y7">
        <f>Y4+Y5+Y6</f>
      </c>
      <c r="Z7">
        <f>Z4+Z5+Z6</f>
      </c>
      <c r="AA7">
        <f>AA4+AA5+AA6</f>
      </c>
      <c r="AB7">
        <f>AB4+AB5+AB6</f>
      </c>
      <c r="AC7">
        <f>AC4+AC5+AC6</f>
      </c>
      <c r="AD7">
        <f>AD4+AD5+AD6</f>
      </c>
      <c r="AE7">
        <f>AE4+AE5+AE6</f>
      </c>
      <c r="AF7">
        <f>AF4+AF5+AF6</f>
      </c>
      <c r="AG7">
        <f>AG4+AG5+AG6</f>
      </c>
      <c r="AH7">
        <f>AH4+AH5+AH6</f>
      </c>
      <c r="AI7">
        <f>AI4+AI5+AI6</f>
      </c>
      <c r="AJ7">
        <f>AJ4+AJ5+AJ6</f>
      </c>
      <c r="AK7">
        <f>AK4+AK5+AK6</f>
      </c>
    </row>
    <row r="8">
      <c r="A8" t="str">
        <v>(-) Impostos s/ receita</v>
      </c>
      <c r="B8">
        <f>-B7*Premissas!$B$52</f>
      </c>
      <c r="C8">
        <f>-C7*Premissas!$B$52</f>
      </c>
      <c r="D8">
        <f>-D7*Premissas!$B$52</f>
      </c>
      <c r="E8">
        <f>-E7*Premissas!$B$52</f>
      </c>
      <c r="F8">
        <f>-F7*Premissas!$B$52</f>
      </c>
      <c r="G8">
        <f>-G7*Premissas!$B$52</f>
      </c>
      <c r="H8">
        <f>-H7*Premissas!$B$52</f>
      </c>
      <c r="I8">
        <f>-I7*Premissas!$B$52</f>
      </c>
      <c r="J8">
        <f>-J7*Premissas!$B$52</f>
      </c>
      <c r="K8">
        <f>-K7*Premissas!$B$52</f>
      </c>
      <c r="L8">
        <f>-L7*Premissas!$B$52</f>
      </c>
      <c r="M8">
        <f>-M7*Premissas!$B$52</f>
      </c>
      <c r="N8">
        <f>-N7*Premissas!$B$52</f>
      </c>
      <c r="O8">
        <f>-O7*Premissas!$B$52</f>
      </c>
      <c r="P8">
        <f>-P7*Premissas!$B$52</f>
      </c>
      <c r="Q8">
        <f>-Q7*Premissas!$B$52</f>
      </c>
      <c r="R8">
        <f>-R7*Premissas!$B$52</f>
      </c>
      <c r="S8">
        <f>-S7*Premissas!$B$52</f>
      </c>
      <c r="T8">
        <f>-T7*Premissas!$B$52</f>
      </c>
      <c r="U8">
        <f>-U7*Premissas!$B$52</f>
      </c>
      <c r="V8">
        <f>-V7*Premissas!$B$52</f>
      </c>
      <c r="W8">
        <f>-W7*Premissas!$B$52</f>
      </c>
      <c r="X8">
        <f>-X7*Premissas!$B$52</f>
      </c>
      <c r="Y8">
        <f>-Y7*Premissas!$B$52</f>
      </c>
      <c r="Z8">
        <f>-Z7*Premissas!$B$52</f>
      </c>
      <c r="AA8">
        <f>-AA7*Premissas!$B$52</f>
      </c>
      <c r="AB8">
        <f>-AB7*Premissas!$B$52</f>
      </c>
      <c r="AC8">
        <f>-AC7*Premissas!$B$52</f>
      </c>
      <c r="AD8">
        <f>-AD7*Premissas!$B$52</f>
      </c>
      <c r="AE8">
        <f>-AE7*Premissas!$B$52</f>
      </c>
      <c r="AF8">
        <f>-AF7*Premissas!$B$52</f>
      </c>
      <c r="AG8">
        <f>-AG7*Premissas!$B$52</f>
      </c>
      <c r="AH8">
        <f>-AH7*Premissas!$B$52</f>
      </c>
      <c r="AI8">
        <f>-AI7*Premissas!$B$52</f>
      </c>
      <c r="AJ8">
        <f>-AJ7*Premissas!$B$52</f>
      </c>
      <c r="AK8">
        <f>-AK7*Premissas!$B$52</f>
      </c>
    </row>
    <row r="9">
      <c r="A9" t="str">
        <v>(=) RECEITA LÍQUIDA</v>
      </c>
      <c r="B9">
        <f>B7+B8</f>
      </c>
      <c r="C9">
        <f>C7+C8</f>
      </c>
      <c r="D9">
        <f>D7+D8</f>
      </c>
      <c r="E9">
        <f>E7+E8</f>
      </c>
      <c r="F9">
        <f>F7+F8</f>
      </c>
      <c r="G9">
        <f>G7+G8</f>
      </c>
      <c r="H9">
        <f>H7+H8</f>
      </c>
      <c r="I9">
        <f>I7+I8</f>
      </c>
      <c r="J9">
        <f>J7+J8</f>
      </c>
      <c r="K9">
        <f>K7+K8</f>
      </c>
      <c r="L9">
        <f>L7+L8</f>
      </c>
      <c r="M9">
        <f>M7+M8</f>
      </c>
      <c r="N9">
        <f>N7+N8</f>
      </c>
      <c r="O9">
        <f>O7+O8</f>
      </c>
      <c r="P9">
        <f>P7+P8</f>
      </c>
      <c r="Q9">
        <f>Q7+Q8</f>
      </c>
      <c r="R9">
        <f>R7+R8</f>
      </c>
      <c r="S9">
        <f>S7+S8</f>
      </c>
      <c r="T9">
        <f>T7+T8</f>
      </c>
      <c r="U9">
        <f>U7+U8</f>
      </c>
      <c r="V9">
        <f>V7+V8</f>
      </c>
      <c r="W9">
        <f>W7+W8</f>
      </c>
      <c r="X9">
        <f>X7+X8</f>
      </c>
      <c r="Y9">
        <f>Y7+Y8</f>
      </c>
      <c r="Z9">
        <f>Z7+Z8</f>
      </c>
      <c r="AA9">
        <f>AA7+AA8</f>
      </c>
      <c r="AB9">
        <f>AB7+AB8</f>
      </c>
      <c r="AC9">
        <f>AC7+AC8</f>
      </c>
      <c r="AD9">
        <f>AD7+AD8</f>
      </c>
      <c r="AE9">
        <f>AE7+AE8</f>
      </c>
      <c r="AF9">
        <f>AF7+AF8</f>
      </c>
      <c r="AG9">
        <f>AG7+AG8</f>
      </c>
      <c r="AH9">
        <f>AH7+AH8</f>
      </c>
      <c r="AI9">
        <f>AI7+AI8</f>
      </c>
      <c r="AJ9">
        <f>AJ7+AJ8</f>
      </c>
      <c r="AK9">
        <f>AK7+AK8</f>
      </c>
    </row>
    <row r="10">
      <c r="A10" t="str">
        <v>(-) Custo frota</v>
      </c>
      <c r="B10">
        <f>-(B3*Frota!$B$15+B3*Premissas!$B$14*Premissas!$B$15)</f>
      </c>
      <c r="C10">
        <f>-(C3*Frota!$B$15+C3*Premissas!$B$14*Premissas!$B$15)</f>
      </c>
      <c r="D10">
        <f>-(D3*Frota!$B$15+D3*Premissas!$B$14*Premissas!$B$15)</f>
      </c>
      <c r="E10">
        <f>-(E3*Frota!$B$15+E3*Premissas!$B$14*Premissas!$B$15)</f>
      </c>
      <c r="F10">
        <f>-(F3*Frota!$B$15+F3*Premissas!$B$14*Premissas!$B$15)</f>
      </c>
      <c r="G10">
        <f>-(G3*Frota!$B$15+G3*Premissas!$B$14*Premissas!$B$15)</f>
      </c>
      <c r="H10">
        <f>-(H3*Frota!$B$15+H3*Premissas!$B$14*Premissas!$B$15)</f>
      </c>
      <c r="I10">
        <f>-(I3*Frota!$B$15+I3*Premissas!$B$14*Premissas!$B$15)</f>
      </c>
      <c r="J10">
        <f>-(J3*Frota!$B$15+J3*Premissas!$B$14*Premissas!$B$15)</f>
      </c>
      <c r="K10">
        <f>-(K3*Frota!$B$15+K3*Premissas!$B$14*Premissas!$B$15)</f>
      </c>
      <c r="L10">
        <f>-(L3*Frota!$B$15+L3*Premissas!$B$14*Premissas!$B$15)</f>
      </c>
      <c r="M10">
        <f>-(M3*Frota!$B$15+M3*Premissas!$B$14*Premissas!$B$15)</f>
      </c>
      <c r="N10">
        <f>-(N3*Frota!$B$15+N3*Premissas!$B$14*Premissas!$B$15)</f>
      </c>
      <c r="O10">
        <f>-(O3*Frota!$B$15+O3*Premissas!$B$14*Premissas!$B$15)</f>
      </c>
      <c r="P10">
        <f>-(P3*Frota!$B$15+P3*Premissas!$B$14*Premissas!$B$15)</f>
      </c>
      <c r="Q10">
        <f>-(Q3*Frota!$B$15+Q3*Premissas!$B$14*Premissas!$B$15)</f>
      </c>
      <c r="R10">
        <f>-(R3*Frota!$B$15+R3*Premissas!$B$14*Premissas!$B$15)</f>
      </c>
      <c r="S10">
        <f>-(S3*Frota!$B$15+S3*Premissas!$B$14*Premissas!$B$15)</f>
      </c>
      <c r="T10">
        <f>-(T3*Frota!$B$15+T3*Premissas!$B$14*Premissas!$B$15)</f>
      </c>
      <c r="U10">
        <f>-(U3*Frota!$B$15+U3*Premissas!$B$14*Premissas!$B$15)</f>
      </c>
      <c r="V10">
        <f>-(V3*Frota!$B$15+V3*Premissas!$B$14*Premissas!$B$15)</f>
      </c>
      <c r="W10">
        <f>-(W3*Frota!$B$15+W3*Premissas!$B$14*Premissas!$B$15)</f>
      </c>
      <c r="X10">
        <f>-(X3*Frota!$B$15+X3*Premissas!$B$14*Premissas!$B$15)</f>
      </c>
      <c r="Y10">
        <f>-(Y3*Frota!$B$15+Y3*Premissas!$B$14*Premissas!$B$15)</f>
      </c>
      <c r="Z10">
        <f>-(Z3*Frota!$B$15+Z3*Premissas!$B$14*Premissas!$B$15)</f>
      </c>
      <c r="AA10">
        <f>-(AA3*Frota!$B$15+AA3*Premissas!$B$14*Premissas!$B$15)</f>
      </c>
      <c r="AB10">
        <f>-(AB3*Frota!$B$15+AB3*Premissas!$B$14*Premissas!$B$15)</f>
      </c>
      <c r="AC10">
        <f>-(AC3*Frota!$B$15+AC3*Premissas!$B$14*Premissas!$B$15)</f>
      </c>
      <c r="AD10">
        <f>-(AD3*Frota!$B$15+AD3*Premissas!$B$14*Premissas!$B$15)</f>
      </c>
      <c r="AE10">
        <f>-(AE3*Frota!$B$15+AE3*Premissas!$B$14*Premissas!$B$15)</f>
      </c>
      <c r="AF10">
        <f>-(AF3*Frota!$B$15+AF3*Premissas!$B$14*Premissas!$B$15)</f>
      </c>
      <c r="AG10">
        <f>-(AG3*Frota!$B$15+AG3*Premissas!$B$14*Premissas!$B$15)</f>
      </c>
      <c r="AH10">
        <f>-(AH3*Frota!$B$15+AH3*Premissas!$B$14*Premissas!$B$15)</f>
      </c>
      <c r="AI10">
        <f>-(AI3*Frota!$B$15+AI3*Premissas!$B$14*Premissas!$B$15)</f>
      </c>
      <c r="AJ10">
        <f>-(AJ3*Frota!$B$15+AJ3*Premissas!$B$14*Premissas!$B$15)</f>
      </c>
      <c r="AK10">
        <f>-(AK3*Frota!$B$15+AK3*Premissas!$B$14*Premissas!$B$15)</f>
      </c>
    </row>
    <row r="11">
      <c r="A11" t="str">
        <v>(-) Perda inadimplência</v>
      </c>
      <c r="B11">
        <f>-B4*Premissas!$B$21*(1-Premissas!$B$22)</f>
      </c>
      <c r="C11">
        <f>-C4*Premissas!$B$21*(1-Premissas!$B$22)</f>
      </c>
      <c r="D11">
        <f>-D4*Premissas!$B$21*(1-Premissas!$B$22)</f>
      </c>
      <c r="E11">
        <f>-E4*Premissas!$B$21*(1-Premissas!$B$22)</f>
      </c>
      <c r="F11">
        <f>-F4*Premissas!$B$21*(1-Premissas!$B$22)</f>
      </c>
      <c r="G11">
        <f>-G4*Premissas!$B$21*(1-Premissas!$B$22)</f>
      </c>
      <c r="H11">
        <f>-H4*Premissas!$B$21*(1-Premissas!$B$22)</f>
      </c>
      <c r="I11">
        <f>-I4*Premissas!$B$21*(1-Premissas!$B$22)</f>
      </c>
      <c r="J11">
        <f>-J4*Premissas!$B$21*(1-Premissas!$B$22)</f>
      </c>
      <c r="K11">
        <f>-K4*Premissas!$B$21*(1-Premissas!$B$22)</f>
      </c>
      <c r="L11">
        <f>-L4*Premissas!$B$21*(1-Premissas!$B$22)</f>
      </c>
      <c r="M11">
        <f>-M4*Premissas!$B$21*(1-Premissas!$B$22)</f>
      </c>
      <c r="N11">
        <f>-N4*Premissas!$B$21*(1-Premissas!$B$22)</f>
      </c>
      <c r="O11">
        <f>-O4*Premissas!$B$21*(1-Premissas!$B$22)</f>
      </c>
      <c r="P11">
        <f>-P4*Premissas!$B$21*(1-Premissas!$B$22)</f>
      </c>
      <c r="Q11">
        <f>-Q4*Premissas!$B$21*(1-Premissas!$B$22)</f>
      </c>
      <c r="R11">
        <f>-R4*Premissas!$B$21*(1-Premissas!$B$22)</f>
      </c>
      <c r="S11">
        <f>-S4*Premissas!$B$21*(1-Premissas!$B$22)</f>
      </c>
      <c r="T11">
        <f>-T4*Premissas!$B$21*(1-Premissas!$B$22)</f>
      </c>
      <c r="U11">
        <f>-U4*Premissas!$B$21*(1-Premissas!$B$22)</f>
      </c>
      <c r="V11">
        <f>-V4*Premissas!$B$21*(1-Premissas!$B$22)</f>
      </c>
      <c r="W11">
        <f>-W4*Premissas!$B$21*(1-Premissas!$B$22)</f>
      </c>
      <c r="X11">
        <f>-X4*Premissas!$B$21*(1-Premissas!$B$22)</f>
      </c>
      <c r="Y11">
        <f>-Y4*Premissas!$B$21*(1-Premissas!$B$22)</f>
      </c>
      <c r="Z11">
        <f>-Z4*Premissas!$B$21*(1-Premissas!$B$22)</f>
      </c>
      <c r="AA11">
        <f>-AA4*Premissas!$B$21*(1-Premissas!$B$22)</f>
      </c>
      <c r="AB11">
        <f>-AB4*Premissas!$B$21*(1-Premissas!$B$22)</f>
      </c>
      <c r="AC11">
        <f>-AC4*Premissas!$B$21*(1-Premissas!$B$22)</f>
      </c>
      <c r="AD11">
        <f>-AD4*Premissas!$B$21*(1-Premissas!$B$22)</f>
      </c>
      <c r="AE11">
        <f>-AE4*Premissas!$B$21*(1-Premissas!$B$22)</f>
      </c>
      <c r="AF11">
        <f>-AF4*Premissas!$B$21*(1-Premissas!$B$22)</f>
      </c>
      <c r="AG11">
        <f>-AG4*Premissas!$B$21*(1-Premissas!$B$22)</f>
      </c>
      <c r="AH11">
        <f>-AH4*Premissas!$B$21*(1-Premissas!$B$22)</f>
      </c>
      <c r="AI11">
        <f>-AI4*Premissas!$B$21*(1-Premissas!$B$22)</f>
      </c>
      <c r="AJ11">
        <f>-AJ4*Premissas!$B$21*(1-Premissas!$B$22)</f>
      </c>
      <c r="AK11">
        <f>-AK4*Premissas!$B$21*(1-Premissas!$B$22)</f>
      </c>
    </row>
    <row r="12">
      <c r="A12" t="str">
        <v>(=) MARGEM BRUTA</v>
      </c>
      <c r="B12">
        <f>B9+B10+B11</f>
      </c>
      <c r="C12">
        <f>C9+C10+C11</f>
      </c>
      <c r="D12">
        <f>D9+D10+D11</f>
      </c>
      <c r="E12">
        <f>E9+E10+E11</f>
      </c>
      <c r="F12">
        <f>F9+F10+F11</f>
      </c>
      <c r="G12">
        <f>G9+G10+G11</f>
      </c>
      <c r="H12">
        <f>H9+H10+H11</f>
      </c>
      <c r="I12">
        <f>I9+I10+I11</f>
      </c>
      <c r="J12">
        <f>J9+J10+J11</f>
      </c>
      <c r="K12">
        <f>K9+K10+K11</f>
      </c>
      <c r="L12">
        <f>L9+L10+L11</f>
      </c>
      <c r="M12">
        <f>M9+M10+M11</f>
      </c>
      <c r="N12">
        <f>N9+N10+N11</f>
      </c>
      <c r="O12">
        <f>O9+O10+O11</f>
      </c>
      <c r="P12">
        <f>P9+P10+P11</f>
      </c>
      <c r="Q12">
        <f>Q9+Q10+Q11</f>
      </c>
      <c r="R12">
        <f>R9+R10+R11</f>
      </c>
      <c r="S12">
        <f>S9+S10+S11</f>
      </c>
      <c r="T12">
        <f>T9+T10+T11</f>
      </c>
      <c r="U12">
        <f>U9+U10+U11</f>
      </c>
      <c r="V12">
        <f>V9+V10+V11</f>
      </c>
      <c r="W12">
        <f>W9+W10+W11</f>
      </c>
      <c r="X12">
        <f>X9+X10+X11</f>
      </c>
      <c r="Y12">
        <f>Y9+Y10+Y11</f>
      </c>
      <c r="Z12">
        <f>Z9+Z10+Z11</f>
      </c>
      <c r="AA12">
        <f>AA9+AA10+AA11</f>
      </c>
      <c r="AB12">
        <f>AB9+AB10+AB11</f>
      </c>
      <c r="AC12">
        <f>AC9+AC10+AC11</f>
      </c>
      <c r="AD12">
        <f>AD9+AD10+AD11</f>
      </c>
      <c r="AE12">
        <f>AE9+AE10+AE11</f>
      </c>
      <c r="AF12">
        <f>AF9+AF10+AF11</f>
      </c>
      <c r="AG12">
        <f>AG9+AG10+AG11</f>
      </c>
      <c r="AH12">
        <f>AH9+AH10+AH11</f>
      </c>
      <c r="AI12">
        <f>AI9+AI10+AI11</f>
      </c>
      <c r="AJ12">
        <f>AJ9+AJ10+AJ11</f>
      </c>
      <c r="AK12">
        <f>AK9+AK10+AK11</f>
      </c>
    </row>
    <row r="13">
      <c r="A13" t="str">
        <v>(-) Desp. comercial (equipe cial+comissão)</v>
      </c>
      <c r="B13">
        <f>-(Equipe!$E$3+Equipe!$E$4+Equipe!$E$9+Equipe!$E$10)</f>
      </c>
      <c r="C13">
        <f>-(Equipe!$E$3+Equipe!$E$4+Equipe!$E$9+Equipe!$E$10)</f>
      </c>
      <c r="D13">
        <f>-(Equipe!$E$3+Equipe!$E$4+Equipe!$E$9+Equipe!$E$10)</f>
      </c>
      <c r="E13">
        <f>-(Equipe!$E$3+Equipe!$E$4+Equipe!$E$9+Equipe!$E$10)</f>
      </c>
      <c r="F13">
        <f>-(Equipe!$E$3+Equipe!$E$4+Equipe!$E$9+Equipe!$E$10)</f>
      </c>
      <c r="G13">
        <f>-(Equipe!$E$3+Equipe!$E$4+Equipe!$E$9+Equipe!$E$10)</f>
      </c>
      <c r="H13">
        <f>-(Equipe!$E$3+Equipe!$E$4+Equipe!$E$9+Equipe!$E$10)</f>
      </c>
      <c r="I13">
        <f>-(Equipe!$E$3+Equipe!$E$4+Equipe!$E$9+Equipe!$E$10)</f>
      </c>
      <c r="J13">
        <f>-(Equipe!$E$3+Equipe!$E$4+Equipe!$E$9+Equipe!$E$10)</f>
      </c>
      <c r="K13">
        <f>-(Equipe!$E$3+Equipe!$E$4+Equipe!$E$9+Equipe!$E$10)</f>
      </c>
      <c r="L13">
        <f>-(Equipe!$E$3+Equipe!$E$4+Equipe!$E$9+Equipe!$E$10)</f>
      </c>
      <c r="M13">
        <f>-(Equipe!$E$3+Equipe!$E$4+Equipe!$E$9+Equipe!$E$10)</f>
      </c>
      <c r="N13">
        <f>-(Equipe!$E$3+Equipe!$E$4+Equipe!$E$9+Equipe!$E$10)</f>
      </c>
      <c r="O13">
        <f>-(Equipe!$E$3+Equipe!$E$4+Equipe!$E$9+Equipe!$E$10)</f>
      </c>
      <c r="P13">
        <f>-(Equipe!$E$3+Equipe!$E$4+Equipe!$E$9+Equipe!$E$10)</f>
      </c>
      <c r="Q13">
        <f>-(Equipe!$E$3+Equipe!$E$4+Equipe!$E$9+Equipe!$E$10)</f>
      </c>
      <c r="R13">
        <f>-(Equipe!$E$3+Equipe!$E$4+Equipe!$E$9+Equipe!$E$10)</f>
      </c>
      <c r="S13">
        <f>-(Equipe!$E$3+Equipe!$E$4+Equipe!$E$9+Equipe!$E$10)</f>
      </c>
      <c r="T13">
        <f>-(Equipe!$E$3+Equipe!$E$4+Equipe!$E$9+Equipe!$E$10)</f>
      </c>
      <c r="U13">
        <f>-(Equipe!$E$3+Equipe!$E$4+Equipe!$E$9+Equipe!$E$10)</f>
      </c>
      <c r="V13">
        <f>-(Equipe!$E$3+Equipe!$E$4+Equipe!$E$9+Equipe!$E$10)</f>
      </c>
      <c r="W13">
        <f>-(Equipe!$E$3+Equipe!$E$4+Equipe!$E$9+Equipe!$E$10)</f>
      </c>
      <c r="X13">
        <f>-(Equipe!$E$3+Equipe!$E$4+Equipe!$E$9+Equipe!$E$10)</f>
      </c>
      <c r="Y13">
        <f>-(Equipe!$E$3+Equipe!$E$4+Equipe!$E$9+Equipe!$E$10)</f>
      </c>
      <c r="Z13">
        <f>-(Equipe!$E$3+Equipe!$E$4+Equipe!$E$9+Equipe!$E$10)</f>
      </c>
      <c r="AA13">
        <f>-(Equipe!$E$3+Equipe!$E$4+Equipe!$E$9+Equipe!$E$10)</f>
      </c>
      <c r="AB13">
        <f>-(Equipe!$E$3+Equipe!$E$4+Equipe!$E$9+Equipe!$E$10)</f>
      </c>
      <c r="AC13">
        <f>-(Equipe!$E$3+Equipe!$E$4+Equipe!$E$9+Equipe!$E$10)</f>
      </c>
      <c r="AD13">
        <f>-(Equipe!$E$3+Equipe!$E$4+Equipe!$E$9+Equipe!$E$10)</f>
      </c>
      <c r="AE13">
        <f>-(Equipe!$E$3+Equipe!$E$4+Equipe!$E$9+Equipe!$E$10)</f>
      </c>
      <c r="AF13">
        <f>-(Equipe!$E$3+Equipe!$E$4+Equipe!$E$9+Equipe!$E$10)</f>
      </c>
      <c r="AG13">
        <f>-(Equipe!$E$3+Equipe!$E$4+Equipe!$E$9+Equipe!$E$10)</f>
      </c>
      <c r="AH13">
        <f>-(Equipe!$E$3+Equipe!$E$4+Equipe!$E$9+Equipe!$E$10)</f>
      </c>
      <c r="AI13">
        <f>-(Equipe!$E$3+Equipe!$E$4+Equipe!$E$9+Equipe!$E$10)</f>
      </c>
      <c r="AJ13">
        <f>-(Equipe!$E$3+Equipe!$E$4+Equipe!$E$9+Equipe!$E$10)</f>
      </c>
      <c r="AK13">
        <f>-(Equipe!$E$3+Equipe!$E$4+Equipe!$E$9+Equipe!$E$10)</f>
      </c>
    </row>
    <row r="14">
      <c r="A14" t="str">
        <v>(-) Desp. marketing</v>
      </c>
      <c r="B14">
        <f>-Premissas!$B$25</f>
      </c>
      <c r="C14">
        <f>-Premissas!$B$25</f>
      </c>
      <c r="D14">
        <f>-Premissas!$B$25</f>
      </c>
      <c r="E14">
        <f>-Premissas!$B$25</f>
      </c>
      <c r="F14">
        <f>-Premissas!$B$25</f>
      </c>
      <c r="G14">
        <f>-Premissas!$B$25</f>
      </c>
      <c r="H14">
        <f>-Premissas!$B$25</f>
      </c>
      <c r="I14">
        <f>-Premissas!$B$25</f>
      </c>
      <c r="J14">
        <f>-Premissas!$B$25</f>
      </c>
      <c r="K14">
        <f>-Premissas!$B$25</f>
      </c>
      <c r="L14">
        <f>-Premissas!$B$25</f>
      </c>
      <c r="M14">
        <f>-Premissas!$B$25</f>
      </c>
      <c r="N14">
        <f>-Premissas!$B$25</f>
      </c>
      <c r="O14">
        <f>-Premissas!$B$25</f>
      </c>
      <c r="P14">
        <f>-Premissas!$B$25</f>
      </c>
      <c r="Q14">
        <f>-Premissas!$B$25</f>
      </c>
      <c r="R14">
        <f>-Premissas!$B$25</f>
      </c>
      <c r="S14">
        <f>-Premissas!$B$25</f>
      </c>
      <c r="T14">
        <f>-Premissas!$B$25</f>
      </c>
      <c r="U14">
        <f>-Premissas!$B$25</f>
      </c>
      <c r="V14">
        <f>-Premissas!$B$25</f>
      </c>
      <c r="W14">
        <f>-Premissas!$B$25</f>
      </c>
      <c r="X14">
        <f>-Premissas!$B$25</f>
      </c>
      <c r="Y14">
        <f>-Premissas!$B$25</f>
      </c>
      <c r="Z14">
        <f>-Premissas!$B$25</f>
      </c>
      <c r="AA14">
        <f>-Premissas!$B$25</f>
      </c>
      <c r="AB14">
        <f>-Premissas!$B$25</f>
      </c>
      <c r="AC14">
        <f>-Premissas!$B$25</f>
      </c>
      <c r="AD14">
        <f>-Premissas!$B$25</f>
      </c>
      <c r="AE14">
        <f>-Premissas!$B$25</f>
      </c>
      <c r="AF14">
        <f>-Premissas!$B$25</f>
      </c>
      <c r="AG14">
        <f>-Premissas!$B$25</f>
      </c>
      <c r="AH14">
        <f>-Premissas!$B$25</f>
      </c>
      <c r="AI14">
        <f>-Premissas!$B$25</f>
      </c>
      <c r="AJ14">
        <f>-Premissas!$B$25</f>
      </c>
      <c r="AK14">
        <f>-Premissas!$B$25</f>
      </c>
    </row>
    <row r="15">
      <c r="A15" t="str">
        <v>(-) Desp. operacional (frota+CS)</v>
      </c>
      <c r="B15">
        <f>-(Equipe!$E$5+Equipe!$E$6+Equipe!$E$7+Equipe!$E$8)</f>
      </c>
      <c r="C15">
        <f>-(Equipe!$E$5+Equipe!$E$6+Equipe!$E$7+Equipe!$E$8)</f>
      </c>
      <c r="D15">
        <f>-(Equipe!$E$5+Equipe!$E$6+Equipe!$E$7+Equipe!$E$8)</f>
      </c>
      <c r="E15">
        <f>-(Equipe!$E$5+Equipe!$E$6+Equipe!$E$7+Equipe!$E$8)</f>
      </c>
      <c r="F15">
        <f>-(Equipe!$E$5+Equipe!$E$6+Equipe!$E$7+Equipe!$E$8)</f>
      </c>
      <c r="G15">
        <f>-(Equipe!$E$5+Equipe!$E$6+Equipe!$E$7+Equipe!$E$8)</f>
      </c>
      <c r="H15">
        <f>-(Equipe!$E$5+Equipe!$E$6+Equipe!$E$7+Equipe!$E$8)</f>
      </c>
      <c r="I15">
        <f>-(Equipe!$E$5+Equipe!$E$6+Equipe!$E$7+Equipe!$E$8)</f>
      </c>
      <c r="J15">
        <f>-(Equipe!$E$5+Equipe!$E$6+Equipe!$E$7+Equipe!$E$8)</f>
      </c>
      <c r="K15">
        <f>-(Equipe!$E$5+Equipe!$E$6+Equipe!$E$7+Equipe!$E$8)</f>
      </c>
      <c r="L15">
        <f>-(Equipe!$E$5+Equipe!$E$6+Equipe!$E$7+Equipe!$E$8)</f>
      </c>
      <c r="M15">
        <f>-(Equipe!$E$5+Equipe!$E$6+Equipe!$E$7+Equipe!$E$8)</f>
      </c>
      <c r="N15">
        <f>-(Equipe!$E$5+Equipe!$E$6+Equipe!$E$7+Equipe!$E$8)</f>
      </c>
      <c r="O15">
        <f>-(Equipe!$E$5+Equipe!$E$6+Equipe!$E$7+Equipe!$E$8)</f>
      </c>
      <c r="P15">
        <f>-(Equipe!$E$5+Equipe!$E$6+Equipe!$E$7+Equipe!$E$8)</f>
      </c>
      <c r="Q15">
        <f>-(Equipe!$E$5+Equipe!$E$6+Equipe!$E$7+Equipe!$E$8)</f>
      </c>
      <c r="R15">
        <f>-(Equipe!$E$5+Equipe!$E$6+Equipe!$E$7+Equipe!$E$8)</f>
      </c>
      <c r="S15">
        <f>-(Equipe!$E$5+Equipe!$E$6+Equipe!$E$7+Equipe!$E$8)</f>
      </c>
      <c r="T15">
        <f>-(Equipe!$E$5+Equipe!$E$6+Equipe!$E$7+Equipe!$E$8)</f>
      </c>
      <c r="U15">
        <f>-(Equipe!$E$5+Equipe!$E$6+Equipe!$E$7+Equipe!$E$8)</f>
      </c>
      <c r="V15">
        <f>-(Equipe!$E$5+Equipe!$E$6+Equipe!$E$7+Equipe!$E$8)</f>
      </c>
      <c r="W15">
        <f>-(Equipe!$E$5+Equipe!$E$6+Equipe!$E$7+Equipe!$E$8)</f>
      </c>
      <c r="X15">
        <f>-(Equipe!$E$5+Equipe!$E$6+Equipe!$E$7+Equipe!$E$8)</f>
      </c>
      <c r="Y15">
        <f>-(Equipe!$E$5+Equipe!$E$6+Equipe!$E$7+Equipe!$E$8)</f>
      </c>
      <c r="Z15">
        <f>-(Equipe!$E$5+Equipe!$E$6+Equipe!$E$7+Equipe!$E$8)</f>
      </c>
      <c r="AA15">
        <f>-(Equipe!$E$5+Equipe!$E$6+Equipe!$E$7+Equipe!$E$8)</f>
      </c>
      <c r="AB15">
        <f>-(Equipe!$E$5+Equipe!$E$6+Equipe!$E$7+Equipe!$E$8)</f>
      </c>
      <c r="AC15">
        <f>-(Equipe!$E$5+Equipe!$E$6+Equipe!$E$7+Equipe!$E$8)</f>
      </c>
      <c r="AD15">
        <f>-(Equipe!$E$5+Equipe!$E$6+Equipe!$E$7+Equipe!$E$8)</f>
      </c>
      <c r="AE15">
        <f>-(Equipe!$E$5+Equipe!$E$6+Equipe!$E$7+Equipe!$E$8)</f>
      </c>
      <c r="AF15">
        <f>-(Equipe!$E$5+Equipe!$E$6+Equipe!$E$7+Equipe!$E$8)</f>
      </c>
      <c r="AG15">
        <f>-(Equipe!$E$5+Equipe!$E$6+Equipe!$E$7+Equipe!$E$8)</f>
      </c>
      <c r="AH15">
        <f>-(Equipe!$E$5+Equipe!$E$6+Equipe!$E$7+Equipe!$E$8)</f>
      </c>
      <c r="AI15">
        <f>-(Equipe!$E$5+Equipe!$E$6+Equipe!$E$7+Equipe!$E$8)</f>
      </c>
      <c r="AJ15">
        <f>-(Equipe!$E$5+Equipe!$E$6+Equipe!$E$7+Equipe!$E$8)</f>
      </c>
      <c r="AK15">
        <f>-(Equipe!$E$5+Equipe!$E$6+Equipe!$E$7+Equipe!$E$8)</f>
      </c>
    </row>
    <row r="16">
      <c r="A16" t="str">
        <v>(-) Desp. administrativa</v>
      </c>
      <c r="B16">
        <f>-(Premissas!$B$53+Premissas!$B$54)</f>
      </c>
      <c r="C16">
        <f>-(Premissas!$B$53+Premissas!$B$54)</f>
      </c>
      <c r="D16">
        <f>-(Premissas!$B$53+Premissas!$B$54)</f>
      </c>
      <c r="E16">
        <f>-(Premissas!$B$53+Premissas!$B$54)</f>
      </c>
      <c r="F16">
        <f>-(Premissas!$B$53+Premissas!$B$54)</f>
      </c>
      <c r="G16">
        <f>-(Premissas!$B$53+Premissas!$B$54)</f>
      </c>
      <c r="H16">
        <f>-(Premissas!$B$53+Premissas!$B$54)</f>
      </c>
      <c r="I16">
        <f>-(Premissas!$B$53+Premissas!$B$54)</f>
      </c>
      <c r="J16">
        <f>-(Premissas!$B$53+Premissas!$B$54)</f>
      </c>
      <c r="K16">
        <f>-(Premissas!$B$53+Premissas!$B$54)</f>
      </c>
      <c r="L16">
        <f>-(Premissas!$B$53+Premissas!$B$54)</f>
      </c>
      <c r="M16">
        <f>-(Premissas!$B$53+Premissas!$B$54)</f>
      </c>
      <c r="N16">
        <f>-(Premissas!$B$53+Premissas!$B$54)</f>
      </c>
      <c r="O16">
        <f>-(Premissas!$B$53+Premissas!$B$54)</f>
      </c>
      <c r="P16">
        <f>-(Premissas!$B$53+Premissas!$B$54)</f>
      </c>
      <c r="Q16">
        <f>-(Premissas!$B$53+Premissas!$B$54)</f>
      </c>
      <c r="R16">
        <f>-(Premissas!$B$53+Premissas!$B$54)</f>
      </c>
      <c r="S16">
        <f>-(Premissas!$B$53+Premissas!$B$54)</f>
      </c>
      <c r="T16">
        <f>-(Premissas!$B$53+Premissas!$B$54)</f>
      </c>
      <c r="U16">
        <f>-(Premissas!$B$53+Premissas!$B$54)</f>
      </c>
      <c r="V16">
        <f>-(Premissas!$B$53+Premissas!$B$54)</f>
      </c>
      <c r="W16">
        <f>-(Premissas!$B$53+Premissas!$B$54)</f>
      </c>
      <c r="X16">
        <f>-(Premissas!$B$53+Premissas!$B$54)</f>
      </c>
      <c r="Y16">
        <f>-(Premissas!$B$53+Premissas!$B$54)</f>
      </c>
      <c r="Z16">
        <f>-(Premissas!$B$53+Premissas!$B$54)</f>
      </c>
      <c r="AA16">
        <f>-(Premissas!$B$53+Premissas!$B$54)</f>
      </c>
      <c r="AB16">
        <f>-(Premissas!$B$53+Premissas!$B$54)</f>
      </c>
      <c r="AC16">
        <f>-(Premissas!$B$53+Premissas!$B$54)</f>
      </c>
      <c r="AD16">
        <f>-(Premissas!$B$53+Premissas!$B$54)</f>
      </c>
      <c r="AE16">
        <f>-(Premissas!$B$53+Premissas!$B$54)</f>
      </c>
      <c r="AF16">
        <f>-(Premissas!$B$53+Premissas!$B$54)</f>
      </c>
      <c r="AG16">
        <f>-(Premissas!$B$53+Premissas!$B$54)</f>
      </c>
      <c r="AH16">
        <f>-(Premissas!$B$53+Premissas!$B$54)</f>
      </c>
      <c r="AI16">
        <f>-(Premissas!$B$53+Premissas!$B$54)</f>
      </c>
      <c r="AJ16">
        <f>-(Premissas!$B$53+Premissas!$B$54)</f>
      </c>
      <c r="AK16">
        <f>-(Premissas!$B$53+Premissas!$B$54)</f>
      </c>
    </row>
    <row r="17">
      <c r="A17" t="str">
        <v>(=) EBITDA</v>
      </c>
      <c r="B17">
        <f>B12+B13+B14+B15+B16</f>
      </c>
      <c r="C17">
        <f>C12+C13+C14+C15+C16</f>
      </c>
      <c r="D17">
        <f>D12+D13+D14+D15+D16</f>
      </c>
      <c r="E17">
        <f>E12+E13+E14+E15+E16</f>
      </c>
      <c r="F17">
        <f>F12+F13+F14+F15+F16</f>
      </c>
      <c r="G17">
        <f>G12+G13+G14+G15+G16</f>
      </c>
      <c r="H17">
        <f>H12+H13+H14+H15+H16</f>
      </c>
      <c r="I17">
        <f>I12+I13+I14+I15+I16</f>
      </c>
      <c r="J17">
        <f>J12+J13+J14+J15+J16</f>
      </c>
      <c r="K17">
        <f>K12+K13+K14+K15+K16</f>
      </c>
      <c r="L17">
        <f>L12+L13+L14+L15+L16</f>
      </c>
      <c r="M17">
        <f>M12+M13+M14+M15+M16</f>
      </c>
      <c r="N17">
        <f>N12+N13+N14+N15+N16</f>
      </c>
      <c r="O17">
        <f>O12+O13+O14+O15+O16</f>
      </c>
      <c r="P17">
        <f>P12+P13+P14+P15+P16</f>
      </c>
      <c r="Q17">
        <f>Q12+Q13+Q14+Q15+Q16</f>
      </c>
      <c r="R17">
        <f>R12+R13+R14+R15+R16</f>
      </c>
      <c r="S17">
        <f>S12+S13+S14+S15+S16</f>
      </c>
      <c r="T17">
        <f>T12+T13+T14+T15+T16</f>
      </c>
      <c r="U17">
        <f>U12+U13+U14+U15+U16</f>
      </c>
      <c r="V17">
        <f>V12+V13+V14+V15+V16</f>
      </c>
      <c r="W17">
        <f>W12+W13+W14+W15+W16</f>
      </c>
      <c r="X17">
        <f>X12+X13+X14+X15+X16</f>
      </c>
      <c r="Y17">
        <f>Y12+Y13+Y14+Y15+Y16</f>
      </c>
      <c r="Z17">
        <f>Z12+Z13+Z14+Z15+Z16</f>
      </c>
      <c r="AA17">
        <f>AA12+AA13+AA14+AA15+AA16</f>
      </c>
      <c r="AB17">
        <f>AB12+AB13+AB14+AB15+AB16</f>
      </c>
      <c r="AC17">
        <f>AC12+AC13+AC14+AC15+AC16</f>
      </c>
      <c r="AD17">
        <f>AD12+AD13+AD14+AD15+AD16</f>
      </c>
      <c r="AE17">
        <f>AE12+AE13+AE14+AE15+AE16</f>
      </c>
      <c r="AF17">
        <f>AF12+AF13+AF14+AF15+AF16</f>
      </c>
      <c r="AG17">
        <f>AG12+AG13+AG14+AG15+AG16</f>
      </c>
      <c r="AH17">
        <f>AH12+AH13+AH14+AH15+AH16</f>
      </c>
      <c r="AI17">
        <f>AI12+AI13+AI14+AI15+AI16</f>
      </c>
      <c r="AJ17">
        <f>AJ12+AJ13+AJ14+AJ15+AJ16</f>
      </c>
      <c r="AK17">
        <f>AK12+AK13+AK14+AK15+AK16</f>
      </c>
    </row>
    <row r="18">
      <c r="A18" t="str">
        <v>(-) Depreciação</v>
      </c>
      <c r="B18">
        <f>0</f>
      </c>
      <c r="C18">
        <f>0</f>
      </c>
      <c r="D18">
        <f>0</f>
      </c>
      <c r="E18">
        <f>0</f>
      </c>
      <c r="F18">
        <f>0</f>
      </c>
      <c r="G18">
        <f>0</f>
      </c>
      <c r="H18">
        <f>0</f>
      </c>
      <c r="I18">
        <f>0</f>
      </c>
      <c r="J18">
        <f>0</f>
      </c>
      <c r="K18">
        <f>0</f>
      </c>
      <c r="L18">
        <f>0</f>
      </c>
      <c r="M18">
        <f>0</f>
      </c>
      <c r="N18">
        <f>0</f>
      </c>
      <c r="O18">
        <f>0</f>
      </c>
      <c r="P18">
        <f>0</f>
      </c>
      <c r="Q18">
        <f>0</f>
      </c>
      <c r="R18">
        <f>0</f>
      </c>
      <c r="S18">
        <f>0</f>
      </c>
      <c r="T18">
        <f>0</f>
      </c>
      <c r="U18">
        <f>0</f>
      </c>
      <c r="V18">
        <f>0</f>
      </c>
      <c r="W18">
        <f>0</f>
      </c>
      <c r="X18">
        <f>0</f>
      </c>
      <c r="Y18">
        <f>0</f>
      </c>
      <c r="Z18">
        <f>0</f>
      </c>
      <c r="AA18">
        <f>0</f>
      </c>
      <c r="AB18">
        <f>0</f>
      </c>
      <c r="AC18">
        <f>0</f>
      </c>
      <c r="AD18">
        <f>0</f>
      </c>
      <c r="AE18">
        <f>0</f>
      </c>
      <c r="AF18">
        <f>0</f>
      </c>
      <c r="AG18">
        <f>0</f>
      </c>
      <c r="AH18">
        <f>0</f>
      </c>
      <c r="AI18">
        <f>0</f>
      </c>
      <c r="AJ18">
        <f>0</f>
      </c>
      <c r="AK18">
        <f>0</f>
      </c>
    </row>
    <row r="19">
      <c r="A19" t="str">
        <v>(=) EBIT</v>
      </c>
      <c r="B19">
        <f>B17+B18</f>
      </c>
      <c r="C19">
        <f>C17+C18</f>
      </c>
      <c r="D19">
        <f>D17+D18</f>
      </c>
      <c r="E19">
        <f>E17+E18</f>
      </c>
      <c r="F19">
        <f>F17+F18</f>
      </c>
      <c r="G19">
        <f>G17+G18</f>
      </c>
      <c r="H19">
        <f>H17+H18</f>
      </c>
      <c r="I19">
        <f>I17+I18</f>
      </c>
      <c r="J19">
        <f>J17+J18</f>
      </c>
      <c r="K19">
        <f>K17+K18</f>
      </c>
      <c r="L19">
        <f>L17+L18</f>
      </c>
      <c r="M19">
        <f>M17+M18</f>
      </c>
      <c r="N19">
        <f>N17+N18</f>
      </c>
      <c r="O19">
        <f>O17+O18</f>
      </c>
      <c r="P19">
        <f>P17+P18</f>
      </c>
      <c r="Q19">
        <f>Q17+Q18</f>
      </c>
      <c r="R19">
        <f>R17+R18</f>
      </c>
      <c r="S19">
        <f>S17+S18</f>
      </c>
      <c r="T19">
        <f>T17+T18</f>
      </c>
      <c r="U19">
        <f>U17+U18</f>
      </c>
      <c r="V19">
        <f>V17+V18</f>
      </c>
      <c r="W19">
        <f>W17+W18</f>
      </c>
      <c r="X19">
        <f>X17+X18</f>
      </c>
      <c r="Y19">
        <f>Y17+Y18</f>
      </c>
      <c r="Z19">
        <f>Z17+Z18</f>
      </c>
      <c r="AA19">
        <f>AA17+AA18</f>
      </c>
      <c r="AB19">
        <f>AB17+AB18</f>
      </c>
      <c r="AC19">
        <f>AC17+AC18</f>
      </c>
      <c r="AD19">
        <f>AD17+AD18</f>
      </c>
      <c r="AE19">
        <f>AE17+AE18</f>
      </c>
      <c r="AF19">
        <f>AF17+AF18</f>
      </c>
      <c r="AG19">
        <f>AG17+AG18</f>
      </c>
      <c r="AH19">
        <f>AH17+AH18</f>
      </c>
      <c r="AI19">
        <f>AI17+AI18</f>
      </c>
      <c r="AJ19">
        <f>AJ17+AJ18</f>
      </c>
      <c r="AK19">
        <f>AK17+AK18</f>
      </c>
    </row>
    <row r="20">
      <c r="A20" t="str">
        <v>(+/-) Resultado financeiro</v>
      </c>
      <c r="B20">
        <f>0</f>
      </c>
      <c r="C20">
        <f>0</f>
      </c>
      <c r="D20">
        <f>0</f>
      </c>
      <c r="E20">
        <f>0</f>
      </c>
      <c r="F20">
        <f>0</f>
      </c>
      <c r="G20">
        <f>0</f>
      </c>
      <c r="H20">
        <f>0</f>
      </c>
      <c r="I20">
        <f>0</f>
      </c>
      <c r="J20">
        <f>0</f>
      </c>
      <c r="K20">
        <f>0</f>
      </c>
      <c r="L20">
        <f>0</f>
      </c>
      <c r="M20">
        <f>0</f>
      </c>
      <c r="N20">
        <f>0</f>
      </c>
      <c r="O20">
        <f>0</f>
      </c>
      <c r="P20">
        <f>0</f>
      </c>
      <c r="Q20">
        <f>0</f>
      </c>
      <c r="R20">
        <f>0</f>
      </c>
      <c r="S20">
        <f>0</f>
      </c>
      <c r="T20">
        <f>0</f>
      </c>
      <c r="U20">
        <f>0</f>
      </c>
      <c r="V20">
        <f>0</f>
      </c>
      <c r="W20">
        <f>0</f>
      </c>
      <c r="X20">
        <f>0</f>
      </c>
      <c r="Y20">
        <f>0</f>
      </c>
      <c r="Z20">
        <f>0</f>
      </c>
      <c r="AA20">
        <f>0</f>
      </c>
      <c r="AB20">
        <f>0</f>
      </c>
      <c r="AC20">
        <f>0</f>
      </c>
      <c r="AD20">
        <f>0</f>
      </c>
      <c r="AE20">
        <f>0</f>
      </c>
      <c r="AF20">
        <f>0</f>
      </c>
      <c r="AG20">
        <f>0</f>
      </c>
      <c r="AH20">
        <f>0</f>
      </c>
      <c r="AI20">
        <f>0</f>
      </c>
      <c r="AJ20">
        <f>0</f>
      </c>
      <c r="AK20">
        <f>0</f>
      </c>
    </row>
    <row r="21">
      <c r="A21" t="str">
        <v>(=) LAIR</v>
      </c>
      <c r="B21">
        <f>B19+B20</f>
      </c>
      <c r="C21">
        <f>C19+C20</f>
      </c>
      <c r="D21">
        <f>D19+D20</f>
      </c>
      <c r="E21">
        <f>E19+E20</f>
      </c>
      <c r="F21">
        <f>F19+F20</f>
      </c>
      <c r="G21">
        <f>G19+G20</f>
      </c>
      <c r="H21">
        <f>H19+H20</f>
      </c>
      <c r="I21">
        <f>I19+I20</f>
      </c>
      <c r="J21">
        <f>J19+J20</f>
      </c>
      <c r="K21">
        <f>K19+K20</f>
      </c>
      <c r="L21">
        <f>L19+L20</f>
      </c>
      <c r="M21">
        <f>M19+M20</f>
      </c>
      <c r="N21">
        <f>N19+N20</f>
      </c>
      <c r="O21">
        <f>O19+O20</f>
      </c>
      <c r="P21">
        <f>P19+P20</f>
      </c>
      <c r="Q21">
        <f>Q19+Q20</f>
      </c>
      <c r="R21">
        <f>R19+R20</f>
      </c>
      <c r="S21">
        <f>S19+S20</f>
      </c>
      <c r="T21">
        <f>T19+T20</f>
      </c>
      <c r="U21">
        <f>U19+U20</f>
      </c>
      <c r="V21">
        <f>V19+V20</f>
      </c>
      <c r="W21">
        <f>W19+W20</f>
      </c>
      <c r="X21">
        <f>X19+X20</f>
      </c>
      <c r="Y21">
        <f>Y19+Y20</f>
      </c>
      <c r="Z21">
        <f>Z19+Z20</f>
      </c>
      <c r="AA21">
        <f>AA19+AA20</f>
      </c>
      <c r="AB21">
        <f>AB19+AB20</f>
      </c>
      <c r="AC21">
        <f>AC19+AC20</f>
      </c>
      <c r="AD21">
        <f>AD19+AD20</f>
      </c>
      <c r="AE21">
        <f>AE19+AE20</f>
      </c>
      <c r="AF21">
        <f>AF19+AF20</f>
      </c>
      <c r="AG21">
        <f>AG19+AG20</f>
      </c>
      <c r="AH21">
        <f>AH19+AH20</f>
      </c>
      <c r="AI21">
        <f>AI19+AI20</f>
      </c>
      <c r="AJ21">
        <f>AJ19+AJ20</f>
      </c>
      <c r="AK21">
        <f>AK19+AK20</f>
      </c>
    </row>
    <row r="22">
      <c r="A22" t="str">
        <v>(-) Impostos s/ lucro</v>
      </c>
      <c r="B22">
        <f>-MAX(B21,0)*0</f>
      </c>
      <c r="C22">
        <f>-MAX(C21,0)*0</f>
      </c>
      <c r="D22">
        <f>-MAX(D21,0)*0</f>
      </c>
      <c r="E22">
        <f>-MAX(E21,0)*0</f>
      </c>
      <c r="F22">
        <f>-MAX(F21,0)*0</f>
      </c>
      <c r="G22">
        <f>-MAX(G21,0)*0</f>
      </c>
      <c r="H22">
        <f>-MAX(H21,0)*0</f>
      </c>
      <c r="I22">
        <f>-MAX(I21,0)*0</f>
      </c>
      <c r="J22">
        <f>-MAX(J21,0)*0</f>
      </c>
      <c r="K22">
        <f>-MAX(K21,0)*0</f>
      </c>
      <c r="L22">
        <f>-MAX(L21,0)*0</f>
      </c>
      <c r="M22">
        <f>-MAX(M21,0)*0</f>
      </c>
      <c r="N22">
        <f>-MAX(N21,0)*0</f>
      </c>
      <c r="O22">
        <f>-MAX(O21,0)*0</f>
      </c>
      <c r="P22">
        <f>-MAX(P21,0)*0</f>
      </c>
      <c r="Q22">
        <f>-MAX(Q21,0)*0</f>
      </c>
      <c r="R22">
        <f>-MAX(R21,0)*0</f>
      </c>
      <c r="S22">
        <f>-MAX(S21,0)*0</f>
      </c>
      <c r="T22">
        <f>-MAX(T21,0)*0</f>
      </c>
      <c r="U22">
        <f>-MAX(U21,0)*0</f>
      </c>
      <c r="V22">
        <f>-MAX(V21,0)*0</f>
      </c>
      <c r="W22">
        <f>-MAX(W21,0)*0</f>
      </c>
      <c r="X22">
        <f>-MAX(X21,0)*0</f>
      </c>
      <c r="Y22">
        <f>-MAX(Y21,0)*0</f>
      </c>
      <c r="Z22">
        <f>-MAX(Z21,0)*0</f>
      </c>
      <c r="AA22">
        <f>-MAX(AA21,0)*0</f>
      </c>
      <c r="AB22">
        <f>-MAX(AB21,0)*0</f>
      </c>
      <c r="AC22">
        <f>-MAX(AC21,0)*0</f>
      </c>
      <c r="AD22">
        <f>-MAX(AD21,0)*0</f>
      </c>
      <c r="AE22">
        <f>-MAX(AE21,0)*0</f>
      </c>
      <c r="AF22">
        <f>-MAX(AF21,0)*0</f>
      </c>
      <c r="AG22">
        <f>-MAX(AG21,0)*0</f>
      </c>
      <c r="AH22">
        <f>-MAX(AH21,0)*0</f>
      </c>
      <c r="AI22">
        <f>-MAX(AI21,0)*0</f>
      </c>
      <c r="AJ22">
        <f>-MAX(AJ21,0)*0</f>
      </c>
      <c r="AK22">
        <f>-MAX(AK21,0)*0</f>
      </c>
    </row>
    <row r="23">
      <c r="A23" t="str">
        <v>(=) LUCRO LÍQUIDO</v>
      </c>
      <c r="B23">
        <f>B21+B22</f>
      </c>
      <c r="C23">
        <f>C21+C22</f>
      </c>
      <c r="D23">
        <f>D21+D22</f>
      </c>
      <c r="E23">
        <f>E21+E22</f>
      </c>
      <c r="F23">
        <f>F21+F22</f>
      </c>
      <c r="G23">
        <f>G21+G22</f>
      </c>
      <c r="H23">
        <f>H21+H22</f>
      </c>
      <c r="I23">
        <f>I21+I22</f>
      </c>
      <c r="J23">
        <f>J21+J22</f>
      </c>
      <c r="K23">
        <f>K21+K22</f>
      </c>
      <c r="L23">
        <f>L21+L22</f>
      </c>
      <c r="M23">
        <f>M21+M22</f>
      </c>
      <c r="N23">
        <f>N21+N22</f>
      </c>
      <c r="O23">
        <f>O21+O22</f>
      </c>
      <c r="P23">
        <f>P21+P22</f>
      </c>
      <c r="Q23">
        <f>Q21+Q22</f>
      </c>
      <c r="R23">
        <f>R21+R22</f>
      </c>
      <c r="S23">
        <f>S21+S22</f>
      </c>
      <c r="T23">
        <f>T21+T22</f>
      </c>
      <c r="U23">
        <f>U21+U22</f>
      </c>
      <c r="V23">
        <f>V21+V22</f>
      </c>
      <c r="W23">
        <f>W21+W22</f>
      </c>
      <c r="X23">
        <f>X21+X22</f>
      </c>
      <c r="Y23">
        <f>Y21+Y22</f>
      </c>
      <c r="Z23">
        <f>Z21+Z22</f>
      </c>
      <c r="AA23">
        <f>AA21+AA22</f>
      </c>
      <c r="AB23">
        <f>AB21+AB22</f>
      </c>
      <c r="AC23">
        <f>AC21+AC22</f>
      </c>
      <c r="AD23">
        <f>AD21+AD22</f>
      </c>
      <c r="AE23">
        <f>AE21+AE22</f>
      </c>
      <c r="AF23">
        <f>AF21+AF22</f>
      </c>
      <c r="AG23">
        <f>AG21+AG22</f>
      </c>
      <c r="AH23">
        <f>AH21+AH22</f>
      </c>
      <c r="AI23">
        <f>AI21+AI22</f>
      </c>
      <c r="AJ23">
        <f>AJ21+AJ22</f>
      </c>
      <c r="AK23">
        <f>AK21+AK22</f>
      </c>
    </row>
    <row r="24">
      <c r="A24" t="str">
        <v>Margem líquida %</v>
      </c>
      <c r="B24" s="2">
        <f>IF(B7=0,0,B23/B7)</f>
      </c>
      <c r="C24" s="2">
        <f>IF(C7=0,0,C23/C7)</f>
      </c>
      <c r="D24" s="2">
        <f>IF(D7=0,0,D23/D7)</f>
      </c>
      <c r="E24" s="2">
        <f>IF(E7=0,0,E23/E7)</f>
      </c>
      <c r="F24" s="2">
        <f>IF(F7=0,0,F23/F7)</f>
      </c>
      <c r="G24" s="2">
        <f>IF(G7=0,0,G23/G7)</f>
      </c>
      <c r="H24" s="2">
        <f>IF(H7=0,0,H23/H7)</f>
      </c>
      <c r="I24" s="2">
        <f>IF(I7=0,0,I23/I7)</f>
      </c>
      <c r="J24" s="2">
        <f>IF(J7=0,0,J23/J7)</f>
      </c>
      <c r="K24" s="2">
        <f>IF(K7=0,0,K23/K7)</f>
      </c>
      <c r="L24" s="2">
        <f>IF(L7=0,0,L23/L7)</f>
      </c>
      <c r="M24" s="2">
        <f>IF(M7=0,0,M23/M7)</f>
      </c>
      <c r="N24" s="2">
        <f>IF(N7=0,0,N23/N7)</f>
      </c>
      <c r="O24" s="2">
        <f>IF(O7=0,0,O23/O7)</f>
      </c>
      <c r="P24" s="2">
        <f>IF(P7=0,0,P23/P7)</f>
      </c>
      <c r="Q24" s="2">
        <f>IF(Q7=0,0,Q23/Q7)</f>
      </c>
      <c r="R24" s="2">
        <f>IF(R7=0,0,R23/R7)</f>
      </c>
      <c r="S24" s="2">
        <f>IF(S7=0,0,S23/S7)</f>
      </c>
      <c r="T24" s="2">
        <f>IF(T7=0,0,T23/T7)</f>
      </c>
      <c r="U24" s="2">
        <f>IF(U7=0,0,U23/U7)</f>
      </c>
      <c r="V24" s="2">
        <f>IF(V7=0,0,V23/V7)</f>
      </c>
      <c r="W24" s="2">
        <f>IF(W7=0,0,W23/W7)</f>
      </c>
      <c r="X24" s="2">
        <f>IF(X7=0,0,X23/X7)</f>
      </c>
      <c r="Y24" s="2">
        <f>IF(Y7=0,0,Y23/Y7)</f>
      </c>
      <c r="Z24" s="2">
        <f>IF(Z7=0,0,Z23/Z7)</f>
      </c>
      <c r="AA24" s="2">
        <f>IF(AA7=0,0,AA23/AA7)</f>
      </c>
      <c r="AB24" s="2">
        <f>IF(AB7=0,0,AB23/AB7)</f>
      </c>
      <c r="AC24" s="2">
        <f>IF(AC7=0,0,AC23/AC7)</f>
      </c>
      <c r="AD24" s="2">
        <f>IF(AD7=0,0,AD23/AD7)</f>
      </c>
      <c r="AE24" s="2">
        <f>IF(AE7=0,0,AE23/AE7)</f>
      </c>
      <c r="AF24" s="2">
        <f>IF(AF7=0,0,AF23/AF7)</f>
      </c>
      <c r="AG24" s="2">
        <f>IF(AG7=0,0,AG23/AG7)</f>
      </c>
      <c r="AH24" s="2">
        <f>IF(AH7=0,0,AH23/AH7)</f>
      </c>
      <c r="AI24" s="2">
        <f>IF(AI7=0,0,AI23/AI7)</f>
      </c>
      <c r="AJ24" s="2">
        <f>IF(AJ7=0,0,AJ23/AJ7)</f>
      </c>
      <c r="AK24" s="2">
        <f>IF(AK7=0,0,AK23/AK7)</f>
      </c>
    </row>
  </sheetData>
  <mergeCells count="1">
    <mergeCell ref="A1:AK1"/>
  </mergeCells>
  <ignoredErrors>
    <ignoredError numberStoredAsText="1" sqref="A1:AK2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K9"/>
  <sheetViews>
    <sheetView workbookViewId="0"/>
  </sheetViews>
  <cols>
    <col min="1" max="1" width="34.83203125" customWidth="1"/>
    <col min="2" max="2" width="11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  <col min="17" max="17" width="11.83203125" customWidth="1"/>
    <col min="18" max="18" width="11.83203125" customWidth="1"/>
    <col min="19" max="19" width="11.83203125" customWidth="1"/>
    <col min="20" max="20" width="11.83203125" customWidth="1"/>
    <col min="21" max="21" width="11.83203125" customWidth="1"/>
    <col min="22" max="22" width="11.83203125" customWidth="1"/>
    <col min="23" max="23" width="11.83203125" customWidth="1"/>
    <col min="24" max="24" width="11.83203125" customWidth="1"/>
    <col min="25" max="25" width="11.83203125" customWidth="1"/>
    <col min="26" max="26" width="11.83203125" customWidth="1"/>
    <col min="27" max="27" width="11.83203125" customWidth="1"/>
    <col min="28" max="28" width="11.83203125" customWidth="1"/>
    <col min="29" max="29" width="11.83203125" customWidth="1"/>
    <col min="30" max="30" width="11.83203125" customWidth="1"/>
    <col min="31" max="31" width="11.83203125" customWidth="1"/>
    <col min="32" max="32" width="11.83203125" customWidth="1"/>
    <col min="33" max="33" width="11.83203125" customWidth="1"/>
    <col min="34" max="34" width="11.83203125" customWidth="1"/>
    <col min="35" max="35" width="11.83203125" customWidth="1"/>
    <col min="36" max="36" width="11.83203125" customWidth="1"/>
    <col min="37" max="37" width="11.83203125" customWidth="1"/>
  </cols>
  <sheetData>
    <row r="1">
      <c r="A1" t="str">
        <v>FLUXO DE CAIXA — 36 MESES (R$)</v>
      </c>
    </row>
    <row r="2">
      <c r="A2" t="str">
        <v>Linha</v>
      </c>
      <c r="B2" t="str">
        <v>M1</v>
      </c>
      <c r="C2" t="str">
        <v>M2</v>
      </c>
      <c r="D2" t="str">
        <v>M3</v>
      </c>
      <c r="E2" t="str">
        <v>M4</v>
      </c>
      <c r="F2" t="str">
        <v>M5</v>
      </c>
      <c r="G2" t="str">
        <v>M6</v>
      </c>
      <c r="H2" t="str">
        <v>M7</v>
      </c>
      <c r="I2" t="str">
        <v>M8</v>
      </c>
      <c r="J2" t="str">
        <v>M9</v>
      </c>
      <c r="K2" t="str">
        <v>M10</v>
      </c>
      <c r="L2" t="str">
        <v>M11</v>
      </c>
      <c r="M2" t="str">
        <v>M12</v>
      </c>
      <c r="N2" t="str">
        <v>M13</v>
      </c>
      <c r="O2" t="str">
        <v>M14</v>
      </c>
      <c r="P2" t="str">
        <v>M15</v>
      </c>
      <c r="Q2" t="str">
        <v>M16</v>
      </c>
      <c r="R2" t="str">
        <v>M17</v>
      </c>
      <c r="S2" t="str">
        <v>M18</v>
      </c>
      <c r="T2" t="str">
        <v>M19</v>
      </c>
      <c r="U2" t="str">
        <v>M20</v>
      </c>
      <c r="V2" t="str">
        <v>M21</v>
      </c>
      <c r="W2" t="str">
        <v>M22</v>
      </c>
      <c r="X2" t="str">
        <v>M23</v>
      </c>
      <c r="Y2" t="str">
        <v>M24</v>
      </c>
      <c r="Z2" t="str">
        <v>M25</v>
      </c>
      <c r="AA2" t="str">
        <v>M26</v>
      </c>
      <c r="AB2" t="str">
        <v>M27</v>
      </c>
      <c r="AC2" t="str">
        <v>M28</v>
      </c>
      <c r="AD2" t="str">
        <v>M29</v>
      </c>
      <c r="AE2" t="str">
        <v>M30</v>
      </c>
      <c r="AF2" t="str">
        <v>M31</v>
      </c>
      <c r="AG2" t="str">
        <v>M32</v>
      </c>
      <c r="AH2" t="str">
        <v>M33</v>
      </c>
      <c r="AI2" t="str">
        <v>M34</v>
      </c>
      <c r="AJ2" t="str">
        <v>M35</v>
      </c>
      <c r="AK2" t="str">
        <v>M36</v>
      </c>
    </row>
    <row r="3">
      <c r="A3" t="str">
        <v>(+) Entradas (rec. líquida)</v>
      </c>
      <c r="B3">
        <f>DRE!B9</f>
      </c>
      <c r="C3">
        <f>DRE!C9</f>
      </c>
      <c r="D3">
        <f>DRE!D9</f>
      </c>
      <c r="E3">
        <f>DRE!E9</f>
      </c>
      <c r="F3">
        <f>DRE!F9</f>
      </c>
      <c r="G3">
        <f>DRE!G9</f>
      </c>
      <c r="H3">
        <f>DRE!H9</f>
      </c>
      <c r="I3">
        <f>DRE!I9</f>
      </c>
      <c r="J3">
        <f>DRE!J9</f>
      </c>
      <c r="K3">
        <f>DRE!K9</f>
      </c>
      <c r="L3">
        <f>DRE!L9</f>
      </c>
      <c r="M3">
        <f>DRE!M9</f>
      </c>
      <c r="N3">
        <f>DRE!N9</f>
      </c>
      <c r="O3">
        <f>DRE!O9</f>
      </c>
      <c r="P3">
        <f>DRE!P9</f>
      </c>
      <c r="Q3">
        <f>DRE!Q9</f>
      </c>
      <c r="R3">
        <f>DRE!R9</f>
      </c>
      <c r="S3">
        <f>DRE!S9</f>
      </c>
      <c r="T3">
        <f>DRE!T9</f>
      </c>
      <c r="U3">
        <f>DRE!U9</f>
      </c>
      <c r="V3">
        <f>DRE!V9</f>
      </c>
      <c r="W3">
        <f>DRE!W9</f>
      </c>
      <c r="X3">
        <f>DRE!X9</f>
      </c>
      <c r="Y3">
        <f>DRE!Y9</f>
      </c>
      <c r="Z3">
        <f>DRE!Z9</f>
      </c>
      <c r="AA3">
        <f>DRE!AA9</f>
      </c>
      <c r="AB3">
        <f>DRE!AB9</f>
      </c>
      <c r="AC3">
        <f>DRE!AC9</f>
      </c>
      <c r="AD3">
        <f>DRE!AD9</f>
      </c>
      <c r="AE3">
        <f>DRE!AE9</f>
      </c>
      <c r="AF3">
        <f>DRE!AF9</f>
      </c>
      <c r="AG3">
        <f>DRE!AG9</f>
      </c>
      <c r="AH3">
        <f>DRE!AH9</f>
      </c>
      <c r="AI3">
        <f>DRE!AI9</f>
      </c>
      <c r="AJ3">
        <f>DRE!AJ9</f>
      </c>
      <c r="AK3">
        <f>DRE!AK9</f>
      </c>
    </row>
    <row r="4">
      <c r="A4" t="str">
        <v>(-) Saídas (custos+desp.)</v>
      </c>
      <c r="B4">
        <f>DRE!B10+DRE!B11+DRE!B13+DRE!B14+DRE!B15+DRE!B16</f>
      </c>
      <c r="C4">
        <f>DRE!C10+DRE!C11+DRE!C13+DRE!C14+DRE!C15+DRE!C16</f>
      </c>
      <c r="D4">
        <f>DRE!D10+DRE!D11+DRE!D13+DRE!D14+DRE!D15+DRE!D16</f>
      </c>
      <c r="E4">
        <f>DRE!E10+DRE!E11+DRE!E13+DRE!E14+DRE!E15+DRE!E16</f>
      </c>
      <c r="F4">
        <f>DRE!F10+DRE!F11+DRE!F13+DRE!F14+DRE!F15+DRE!F16</f>
      </c>
      <c r="G4">
        <f>DRE!G10+DRE!G11+DRE!G13+DRE!G14+DRE!G15+DRE!G16</f>
      </c>
      <c r="H4">
        <f>DRE!H10+DRE!H11+DRE!H13+DRE!H14+DRE!H15+DRE!H16</f>
      </c>
      <c r="I4">
        <f>DRE!I10+DRE!I11+DRE!I13+DRE!I14+DRE!I15+DRE!I16</f>
      </c>
      <c r="J4">
        <f>DRE!J10+DRE!J11+DRE!J13+DRE!J14+DRE!J15+DRE!J16</f>
      </c>
      <c r="K4">
        <f>DRE!K10+DRE!K11+DRE!K13+DRE!K14+DRE!K15+DRE!K16</f>
      </c>
      <c r="L4">
        <f>DRE!L10+DRE!L11+DRE!L13+DRE!L14+DRE!L15+DRE!L16</f>
      </c>
      <c r="M4">
        <f>DRE!M10+DRE!M11+DRE!M13+DRE!M14+DRE!M15+DRE!M16</f>
      </c>
      <c r="N4">
        <f>DRE!N10+DRE!N11+DRE!N13+DRE!N14+DRE!N15+DRE!N16</f>
      </c>
      <c r="O4">
        <f>DRE!O10+DRE!O11+DRE!O13+DRE!O14+DRE!O15+DRE!O16</f>
      </c>
      <c r="P4">
        <f>DRE!P10+DRE!P11+DRE!P13+DRE!P14+DRE!P15+DRE!P16</f>
      </c>
      <c r="Q4">
        <f>DRE!Q10+DRE!Q11+DRE!Q13+DRE!Q14+DRE!Q15+DRE!Q16</f>
      </c>
      <c r="R4">
        <f>DRE!R10+DRE!R11+DRE!R13+DRE!R14+DRE!R15+DRE!R16</f>
      </c>
      <c r="S4">
        <f>DRE!S10+DRE!S11+DRE!S13+DRE!S14+DRE!S15+DRE!S16</f>
      </c>
      <c r="T4">
        <f>DRE!T10+DRE!T11+DRE!T13+DRE!T14+DRE!T15+DRE!T16</f>
      </c>
      <c r="U4">
        <f>DRE!U10+DRE!U11+DRE!U13+DRE!U14+DRE!U15+DRE!U16</f>
      </c>
      <c r="V4">
        <f>DRE!V10+DRE!V11+DRE!V13+DRE!V14+DRE!V15+DRE!V16</f>
      </c>
      <c r="W4">
        <f>DRE!W10+DRE!W11+DRE!W13+DRE!W14+DRE!W15+DRE!W16</f>
      </c>
      <c r="X4">
        <f>DRE!X10+DRE!X11+DRE!X13+DRE!X14+DRE!X15+DRE!X16</f>
      </c>
      <c r="Y4">
        <f>DRE!Y10+DRE!Y11+DRE!Y13+DRE!Y14+DRE!Y15+DRE!Y16</f>
      </c>
      <c r="Z4">
        <f>DRE!Z10+DRE!Z11+DRE!Z13+DRE!Z14+DRE!Z15+DRE!Z16</f>
      </c>
      <c r="AA4">
        <f>DRE!AA10+DRE!AA11+DRE!AA13+DRE!AA14+DRE!AA15+DRE!AA16</f>
      </c>
      <c r="AB4">
        <f>DRE!AB10+DRE!AB11+DRE!AB13+DRE!AB14+DRE!AB15+DRE!AB16</f>
      </c>
      <c r="AC4">
        <f>DRE!AC10+DRE!AC11+DRE!AC13+DRE!AC14+DRE!AC15+DRE!AC16</f>
      </c>
      <c r="AD4">
        <f>DRE!AD10+DRE!AD11+DRE!AD13+DRE!AD14+DRE!AD15+DRE!AD16</f>
      </c>
      <c r="AE4">
        <f>DRE!AE10+DRE!AE11+DRE!AE13+DRE!AE14+DRE!AE15+DRE!AE16</f>
      </c>
      <c r="AF4">
        <f>DRE!AF10+DRE!AF11+DRE!AF13+DRE!AF14+DRE!AF15+DRE!AF16</f>
      </c>
      <c r="AG4">
        <f>DRE!AG10+DRE!AG11+DRE!AG13+DRE!AG14+DRE!AG15+DRE!AG16</f>
      </c>
      <c r="AH4">
        <f>DRE!AH10+DRE!AH11+DRE!AH13+DRE!AH14+DRE!AH15+DRE!AH16</f>
      </c>
      <c r="AI4">
        <f>DRE!AI10+DRE!AI11+DRE!AI13+DRE!AI14+DRE!AI15+DRE!AI16</f>
      </c>
      <c r="AJ4">
        <f>DRE!AJ10+DRE!AJ11+DRE!AJ13+DRE!AJ14+DRE!AJ15+DRE!AJ16</f>
      </c>
      <c r="AK4">
        <f>DRE!AK10+DRE!AK11+DRE!AK13+DRE!AK14+DRE!AK15+DRE!AK16</f>
      </c>
    </row>
    <row r="5">
      <c r="A5" t="str">
        <v>(=) Caixa do mês</v>
      </c>
      <c r="B5">
        <f>B3+B4</f>
      </c>
      <c r="C5">
        <f>C3+C4</f>
      </c>
      <c r="D5">
        <f>D3+D4</f>
      </c>
      <c r="E5">
        <f>E3+E4</f>
      </c>
      <c r="F5">
        <f>F3+F4</f>
      </c>
      <c r="G5">
        <f>G3+G4</f>
      </c>
      <c r="H5">
        <f>H3+H4</f>
      </c>
      <c r="I5">
        <f>I3+I4</f>
      </c>
      <c r="J5">
        <f>J3+J4</f>
      </c>
      <c r="K5">
        <f>K3+K4</f>
      </c>
      <c r="L5">
        <f>L3+L4</f>
      </c>
      <c r="M5">
        <f>M3+M4</f>
      </c>
      <c r="N5">
        <f>N3+N4</f>
      </c>
      <c r="O5">
        <f>O3+O4</f>
      </c>
      <c r="P5">
        <f>P3+P4</f>
      </c>
      <c r="Q5">
        <f>Q3+Q4</f>
      </c>
      <c r="R5">
        <f>R3+R4</f>
      </c>
      <c r="S5">
        <f>S3+S4</f>
      </c>
      <c r="T5">
        <f>T3+T4</f>
      </c>
      <c r="U5">
        <f>U3+U4</f>
      </c>
      <c r="V5">
        <f>V3+V4</f>
      </c>
      <c r="W5">
        <f>W3+W4</f>
      </c>
      <c r="X5">
        <f>X3+X4</f>
      </c>
      <c r="Y5">
        <f>Y3+Y4</f>
      </c>
      <c r="Z5">
        <f>Z3+Z4</f>
      </c>
      <c r="AA5">
        <f>AA3+AA4</f>
      </c>
      <c r="AB5">
        <f>AB3+AB4</f>
      </c>
      <c r="AC5">
        <f>AC3+AC4</f>
      </c>
      <c r="AD5">
        <f>AD3+AD4</f>
      </c>
      <c r="AE5">
        <f>AE3+AE4</f>
      </c>
      <c r="AF5">
        <f>AF3+AF4</f>
      </c>
      <c r="AG5">
        <f>AG3+AG4</f>
      </c>
      <c r="AH5">
        <f>AH3+AH4</f>
      </c>
      <c r="AI5">
        <f>AI3+AI4</f>
      </c>
      <c r="AJ5">
        <f>AJ3+AJ4</f>
      </c>
      <c r="AK5">
        <f>AK3+AK4</f>
      </c>
    </row>
    <row r="6">
      <c r="A6" t="str">
        <v>(=) Caixa acumulado</v>
      </c>
      <c r="B6">
        <f>Premissas!$B$55+B5</f>
      </c>
      <c r="C6">
        <f>B6+C5</f>
      </c>
      <c r="D6">
        <f>C6+D5</f>
      </c>
      <c r="E6">
        <f>D6+E5</f>
      </c>
      <c r="F6">
        <f>E6+F5</f>
      </c>
      <c r="G6">
        <f>F6+G5</f>
      </c>
      <c r="H6">
        <f>G6+H5</f>
      </c>
      <c r="I6">
        <f>H6+I5</f>
      </c>
      <c r="J6">
        <f>I6+J5</f>
      </c>
      <c r="K6">
        <f>J6+K5</f>
      </c>
      <c r="L6">
        <f>K6+L5</f>
      </c>
      <c r="M6">
        <f>L6+M5</f>
      </c>
      <c r="N6">
        <f>M6+N5</f>
      </c>
      <c r="O6">
        <f>N6+O5</f>
      </c>
      <c r="P6">
        <f>O6+P5</f>
      </c>
      <c r="Q6">
        <f>P6+Q5</f>
      </c>
      <c r="R6">
        <f>Q6+R5</f>
      </c>
      <c r="S6">
        <f>R6+S5</f>
      </c>
      <c r="T6">
        <f>S6+T5</f>
      </c>
      <c r="U6">
        <f>T6+U5</f>
      </c>
      <c r="V6">
        <f>U6+V5</f>
      </c>
      <c r="W6">
        <f>V6+W5</f>
      </c>
      <c r="X6">
        <f>W6+X5</f>
      </c>
      <c r="Y6">
        <f>X6+Y5</f>
      </c>
      <c r="Z6">
        <f>Y6+Z5</f>
      </c>
      <c r="AA6">
        <f>Z6+AA5</f>
      </c>
      <c r="AB6">
        <f>AA6+AB5</f>
      </c>
      <c r="AC6">
        <f>AB6+AC5</f>
      </c>
      <c r="AD6">
        <f>AC6+AD5</f>
      </c>
      <c r="AE6">
        <f>AD6+AE5</f>
      </c>
      <c r="AF6">
        <f>AE6+AF5</f>
      </c>
      <c r="AG6">
        <f>AF6+AG5</f>
      </c>
      <c r="AH6">
        <f>AG6+AH5</f>
      </c>
      <c r="AI6">
        <f>AH6+AI5</f>
      </c>
      <c r="AJ6">
        <f>AI6+AJ5</f>
      </c>
      <c r="AK6">
        <f>AJ6+AK5</f>
      </c>
    </row>
    <row r="7">
      <c r="A7" t="str">
        <v>Caixa inicial</v>
      </c>
      <c r="B7">
        <f>Premissas!$B$55</f>
      </c>
    </row>
    <row r="8">
      <c r="A8" t="str">
        <v>Menor caixa (36m)</v>
      </c>
      <c r="B8">
        <f>MIN(B6:AK6)</f>
      </c>
    </row>
    <row r="9">
      <c r="A9" t="str">
        <v>Caixa necessário (aporte se &lt;0)</v>
      </c>
      <c r="B9">
        <f>IF(MIN(B6:AK6)&lt;0,-MIN(B6:AK6),0)</f>
      </c>
    </row>
  </sheetData>
  <mergeCells count="1">
    <mergeCell ref="A1:AK1"/>
  </mergeCells>
  <ignoredErrors>
    <ignoredError numberStoredAsText="1" sqref="A1:AK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44.83203125" customWidth="1"/>
    <col min="2" max="2" width="18.83203125" customWidth="1"/>
    <col min="3" max="3" width="10.83203125" customWidth="1"/>
  </cols>
  <sheetData>
    <row r="1">
      <c r="A1" t="str">
        <v>UNIT ECONOMICS (por carro/contrato)</v>
      </c>
    </row>
    <row r="2">
      <c r="A2" t="str">
        <v>Indicador</v>
      </c>
      <c r="B2" t="str">
        <v>Fórmula / Valor</v>
      </c>
      <c r="C2" t="str">
        <v>Unidade</v>
      </c>
    </row>
    <row r="3">
      <c r="A3" t="str">
        <v>Receita por carro ativo /mês</v>
      </c>
      <c r="B3">
        <f>Motoristas!B4</f>
      </c>
      <c r="C3" t="str">
        <v>R$</v>
      </c>
    </row>
    <row r="4">
      <c r="A4" t="str">
        <v>Custo total por carro /mês</v>
      </c>
      <c r="B4">
        <f>Frota!B15</f>
      </c>
      <c r="C4" t="str">
        <v>R$</v>
      </c>
    </row>
    <row r="5">
      <c r="A5" t="str">
        <v>Margem de contribuição por carro /mês</v>
      </c>
      <c r="B5">
        <f>B3-B4</f>
      </c>
      <c r="C5" t="str">
        <v>R$</v>
      </c>
    </row>
    <row r="6">
      <c r="A6" t="str">
        <v>Margem de contribuição %</v>
      </c>
      <c r="B6" s="2">
        <f>(B3-B4)/B3</f>
      </c>
      <c r="C6" t="str">
        <v>%</v>
      </c>
    </row>
    <row r="7">
      <c r="A7" t="str">
        <v>CAC (aquisição por contrato)</v>
      </c>
      <c r="B7">
        <f>Marketing!B12</f>
      </c>
      <c r="C7" t="str">
        <v>R$</v>
      </c>
    </row>
    <row r="8">
      <c r="A8" t="str">
        <v>LTV por motorista</v>
      </c>
      <c r="B8">
        <f>Motoristas!B17</f>
      </c>
      <c r="C8" t="str">
        <v>R$</v>
      </c>
    </row>
    <row r="9">
      <c r="A9" t="str">
        <v>LTV / CAC</v>
      </c>
      <c r="B9">
        <f>B8/B7</f>
      </c>
      <c r="C9" t="str">
        <v>x</v>
      </c>
    </row>
    <row r="10">
      <c r="A10" t="str">
        <v>Payback do CAC (meses)</v>
      </c>
      <c r="B10">
        <f>B7/B5</f>
      </c>
      <c r="C10" t="str">
        <v>meses</v>
      </c>
    </row>
    <row r="11">
      <c r="A11" t="str">
        <v>Custo fixo mensal (equipe+adm+mkt)</v>
      </c>
      <c r="B11">
        <f>Equipe!E12+Premissas!$B$53+Premissas!$B$54+Premissas!$B$25</f>
      </c>
      <c r="C11" t="str">
        <v>R$</v>
      </c>
    </row>
    <row r="12">
      <c r="A12" t="str">
        <v>Break-even em carros ativos</v>
      </c>
      <c r="B12">
        <f>ROUNDUP(B11/B5,0)</f>
      </c>
      <c r="C12" t="str">
        <v>carros</v>
      </c>
    </row>
    <row r="13">
      <c r="A13" t="str">
        <v>Nº mínimo de carros p/ empatar (c/ ociosidade)</v>
      </c>
      <c r="B13">
        <f>ROUNDUP(B12/((1-Premissas!$B$13)*Premissas!$B$16),0)</f>
      </c>
      <c r="C13" t="str">
        <v>carros</v>
      </c>
    </row>
    <row r="14">
      <c r="A14" t="str">
        <v>Carros ativos atuais (regime)</v>
      </c>
      <c r="B14">
        <f>Frota!B7</f>
      </c>
      <c r="C14" t="str">
        <v>carros</v>
      </c>
    </row>
    <row r="15">
      <c r="A15" t="str">
        <v>Folga vs. break-even</v>
      </c>
      <c r="B15">
        <f>B14-B12</f>
      </c>
      <c r="C15" t="str">
        <v>carros</v>
      </c>
    </row>
  </sheetData>
  <mergeCells count="1">
    <mergeCell ref="A1:C1"/>
  </mergeCells>
  <ignoredErrors>
    <ignoredError numberStoredAsText="1" sqref="A1:C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30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</cols>
  <sheetData>
    <row r="1">
      <c r="A1" t="str">
        <v>CENÁRIOS — COMPARATIVO</v>
      </c>
    </row>
    <row r="2">
      <c r="A2" t="str">
        <v>Premissa / Resultado</v>
      </c>
      <c r="B2" t="str">
        <v>Conservador</v>
      </c>
      <c r="C2" t="str">
        <v>Base</v>
      </c>
      <c r="D2" t="str">
        <v>Agressivo</v>
      </c>
      <c r="E2" t="str">
        <v>Stress</v>
      </c>
    </row>
    <row r="3">
      <c r="A3" t="str">
        <v>CPL</v>
      </c>
      <c r="B3">
        <v>35</v>
      </c>
      <c r="C3">
        <f>Premissas!$B$24</f>
      </c>
      <c r="D3">
        <v>12</v>
      </c>
      <c r="E3">
        <v>60</v>
      </c>
    </row>
    <row r="4">
      <c r="A4" t="str">
        <v>Taxa de fechamento</v>
      </c>
      <c r="B4" s="2">
        <v>0.3</v>
      </c>
      <c r="C4">
        <f>Premissas!$B$31</f>
      </c>
      <c r="D4" s="2">
        <v>0.5</v>
      </c>
      <c r="E4" s="2">
        <v>0.25</v>
      </c>
    </row>
    <row r="5">
      <c r="A5" t="str">
        <v>Custo aluguel veículo</v>
      </c>
      <c r="B5" s="1">
        <v>3200</v>
      </c>
      <c r="C5">
        <f>Premissas!$B$6</f>
      </c>
      <c r="D5" s="1">
        <v>2500</v>
      </c>
      <c r="E5" s="1">
        <v>3400</v>
      </c>
    </row>
    <row r="6">
      <c r="A6" t="str">
        <v>Inadimplência</v>
      </c>
      <c r="B6" s="2">
        <v>0.12</v>
      </c>
      <c r="C6">
        <f>Premissas!$B$21</f>
      </c>
      <c r="D6" s="2">
        <v>0.04</v>
      </c>
      <c r="E6" s="2">
        <v>0.18</v>
      </c>
    </row>
    <row r="7">
      <c r="A7" t="str">
        <v>Ocupação</v>
      </c>
      <c r="B7" s="2">
        <v>0.82</v>
      </c>
      <c r="C7">
        <f>Premissas!$B$16</f>
      </c>
      <c r="D7" s="2">
        <v>0.95</v>
      </c>
      <c r="E7" s="2">
        <v>0.7</v>
      </c>
    </row>
    <row r="8">
      <c r="A8" t="str">
        <v>Churn</v>
      </c>
      <c r="B8" s="2">
        <v>0.09</v>
      </c>
      <c r="C8">
        <f>Premissas!$B$20</f>
      </c>
      <c r="D8" s="2">
        <v>0.04</v>
      </c>
      <c r="E8" s="2">
        <v>0.12</v>
      </c>
    </row>
    <row r="9">
      <c r="A9" t="str">
        <v>Valor mensal motorista</v>
      </c>
      <c r="B9" s="1">
        <v>3600</v>
      </c>
      <c r="C9">
        <f>Premissas!$B$17</f>
      </c>
      <c r="D9" s="1">
        <v>4100</v>
      </c>
      <c r="E9" s="1">
        <v>0</v>
      </c>
    </row>
    <row r="10">
      <c r="A10" t="str">
        <v>% carros parados</v>
      </c>
      <c r="B10" s="2">
        <v>0.08</v>
      </c>
      <c r="C10">
        <f>Premissas!$B$13</f>
      </c>
      <c r="D10" s="2">
        <v>0.08</v>
      </c>
      <c r="E10" s="2">
        <v>0.15</v>
      </c>
    </row>
    <row r="11">
      <c r="A11" t="str">
        <v>% sinistro/mês</v>
      </c>
      <c r="B11" s="2">
        <v>0.015</v>
      </c>
      <c r="C11">
        <f>Premissas!$B$14</f>
      </c>
      <c r="D11" s="2">
        <v>0.015</v>
      </c>
      <c r="E11" s="2">
        <v>0.04</v>
      </c>
    </row>
    <row r="12">
      <c r="A12" t="str">
        <v>Carros ativos</v>
      </c>
      <c r="B12">
        <f>Premissas!$B$5*(1-B12)*B7</f>
      </c>
      <c r="C12">
        <f>Premissas!$B$5*(1-C12)*C7</f>
      </c>
      <c r="D12">
        <f>Premissas!$B$5*(1-D12)*D7</f>
      </c>
      <c r="E12">
        <f>Premissas!$B$5*(1-E12)*E7</f>
      </c>
    </row>
    <row r="13">
      <c r="A13" t="str">
        <v>Receita bruta /mês</v>
      </c>
      <c r="B13">
        <f>B14*B9</f>
      </c>
      <c r="C13">
        <f>C14*Premissas!$B$17</f>
      </c>
      <c r="D13">
        <f>D14*D9</f>
      </c>
      <c r="E13">
        <f>E14*Premissas!$B$17</f>
      </c>
    </row>
    <row r="14">
      <c r="A14" t="str">
        <v>Custo frota /mês</v>
      </c>
      <c r="B14">
        <f>B14*B5+B14*B13*Premissas!$B$15</f>
      </c>
      <c r="C14">
        <f>C14*C5+C14*C13*Premissas!$B$15</f>
      </c>
      <c r="D14">
        <f>D14*D5+D14*D13*Premissas!$B$15</f>
      </c>
      <c r="E14">
        <f>E14*E5+E14*E13*Premissas!$B$15</f>
      </c>
    </row>
    <row r="15">
      <c r="A15" t="str">
        <v>Perda inadimplência /mês</v>
      </c>
      <c r="B15">
        <f>B15*B6*(1-Premissas!$B$22)</f>
      </c>
      <c r="C15">
        <f>C15*C6*(1-Premissas!$B$22)</f>
      </c>
      <c r="D15">
        <f>D15*D6*(1-Premissas!$B$22)</f>
      </c>
      <c r="E15">
        <f>E15*E6*(1-Premissas!$B$22)</f>
      </c>
    </row>
    <row r="16">
      <c r="A16" t="str">
        <v>Custos fixos /mês</v>
      </c>
      <c r="B16">
        <f>Equipe!$E$12+Premissas!$B$53+Premissas!$B$54+B3/Premissas!$B$24*0+Premissas!$B$25</f>
      </c>
      <c r="C16">
        <f>Equipe!$E$12+Premissas!$B$53+Premissas!$B$54+Premissas!$B$25</f>
      </c>
      <c r="D16">
        <f>Equipe!$E$12+Premissas!$B$53+Premissas!$B$54+Premissas!$B$25</f>
      </c>
      <c r="E16">
        <f>Equipe!$E$12+Premissas!$B$53+Premissas!$B$54+Premissas!$B$25</f>
      </c>
    </row>
    <row r="17">
      <c r="A17" t="str">
        <v>Impostos s/ receita /mês</v>
      </c>
      <c r="B17">
        <f>B15*Premissas!$B$52</f>
      </c>
      <c r="C17">
        <f>C15*Premissas!$B$52</f>
      </c>
      <c r="D17">
        <f>D15*Premissas!$B$52</f>
      </c>
      <c r="E17">
        <f>E15*Premissas!$B$52</f>
      </c>
    </row>
    <row r="18">
      <c r="A18" t="str">
        <v>EBITDA /mês</v>
      </c>
      <c r="B18">
        <f>B15-B16-B17-B18-B19</f>
      </c>
      <c r="C18">
        <f>C15-C16-C17-C18-C19</f>
      </c>
      <c r="D18">
        <f>D15-D16-D17-D18-D19</f>
      </c>
      <c r="E18">
        <f>E15-E16-E17-E18-E19</f>
      </c>
    </row>
    <row r="19">
      <c r="A19" t="str">
        <v>Lucro líquido aprox /mês</v>
      </c>
      <c r="B19">
        <f>B20</f>
      </c>
      <c r="C19">
        <f>C20</f>
      </c>
      <c r="D19">
        <f>D20</f>
      </c>
      <c r="E19">
        <f>E20</f>
      </c>
    </row>
    <row r="20">
      <c r="A20" t="str">
        <v>Break-even em carros</v>
      </c>
      <c r="B20">
        <f>ROUNDUP(B18/(B9-B5),0)</f>
      </c>
      <c r="C20">
        <f>ROUNDUP(C18/(Premissas!$B$17-C5),0)</f>
      </c>
      <c r="D20">
        <f>ROUNDUP(D18/(D9-D5),0)</f>
      </c>
      <c r="E20">
        <f>ROUNDUP(E18/(Premissas!$B$17-E5),0)</f>
      </c>
    </row>
    <row r="21">
      <c r="A21" t="str">
        <v>Caixa necessário (6m rampa aprox)</v>
      </c>
      <c r="B21">
        <f>IF(B20&lt;0,-B20*6,0)+Premissas!$B$25*3</f>
      </c>
      <c r="C21">
        <f>IF(C20&lt;0,-C20*6,0)+Premissas!$B$25*3</f>
      </c>
      <c r="D21">
        <f>IF(D20&lt;0,-D20*6,0)+Premissas!$B$25*3</f>
      </c>
      <c r="E21">
        <f>IF(E20&lt;0,-E20*6,0)+Premissas!$B$25*3</f>
      </c>
    </row>
  </sheetData>
  <mergeCells count="1">
    <mergeCell ref="A1:E1"/>
  </mergeCells>
  <ignoredErrors>
    <ignoredError numberStoredAsText="1" sqref="A1:E2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3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</cols>
  <sheetData>
    <row r="1">
      <c r="A1" t="str">
        <v>SENSIBILIDADE — EBITDA /mês (R$)</v>
      </c>
    </row>
    <row r="2">
      <c r="A2" t="str">
        <v>custoAluguel ↓ | valorMotorista →</v>
      </c>
      <c r="B2">
        <v>3400</v>
      </c>
      <c r="C2">
        <v>3600</v>
      </c>
      <c r="D2">
        <v>3800</v>
      </c>
      <c r="E2">
        <v>4000</v>
      </c>
      <c r="F2">
        <v>4200</v>
      </c>
    </row>
    <row r="3">
      <c r="A3">
        <v>2400</v>
      </c>
      <c r="B3">
        <f>Frota!$B$7*(B$2-$A3-(Premissas!$B$8+Premissas!$B$9+Premissas!$B$10+Premissas!$B$11+Premissas!$B$12+Premissas!$B$7))-(Equipe!$E$12+Premissas!$B$53+Premissas!$B$54+Premissas!$B$25)</f>
      </c>
      <c r="C3">
        <f>Frota!$B$7*(C$2-$A3-(Premissas!$B$8+Premissas!$B$9+Premissas!$B$10+Premissas!$B$11+Premissas!$B$12+Premissas!$B$7))-(Equipe!$E$12+Premissas!$B$53+Premissas!$B$54+Premissas!$B$25)</f>
      </c>
      <c r="D3">
        <f>Frota!$B$7*(D$2-$A3-(Premissas!$B$8+Premissas!$B$9+Premissas!$B$10+Premissas!$B$11+Premissas!$B$12+Premissas!$B$7))-(Equipe!$E$12+Premissas!$B$53+Premissas!$B$54+Premissas!$B$25)</f>
      </c>
      <c r="E3">
        <f>Frota!$B$7*(E$2-$A3-(Premissas!$B$8+Premissas!$B$9+Premissas!$B$10+Premissas!$B$11+Premissas!$B$12+Premissas!$B$7))-(Equipe!$E$12+Premissas!$B$53+Premissas!$B$54+Premissas!$B$25)</f>
      </c>
      <c r="F3">
        <f>Frota!$B$7*(F$2-$A3-(Premissas!$B$8+Premissas!$B$9+Premissas!$B$10+Premissas!$B$11+Premissas!$B$12+Premissas!$B$7))-(Equipe!$E$12+Premissas!$B$53+Premissas!$B$54+Premissas!$B$25)</f>
      </c>
    </row>
    <row r="4">
      <c r="A4">
        <v>2600</v>
      </c>
      <c r="B4">
        <f>Frota!$B$7*(B$2-$A4-(Premissas!$B$8+Premissas!$B$9+Premissas!$B$10+Premissas!$B$11+Premissas!$B$12+Premissas!$B$7))-(Equipe!$E$12+Premissas!$B$53+Premissas!$B$54+Premissas!$B$25)</f>
      </c>
      <c r="C4">
        <f>Frota!$B$7*(C$2-$A4-(Premissas!$B$8+Premissas!$B$9+Premissas!$B$10+Premissas!$B$11+Premissas!$B$12+Premissas!$B$7))-(Equipe!$E$12+Premissas!$B$53+Premissas!$B$54+Premissas!$B$25)</f>
      </c>
      <c r="D4">
        <f>Frota!$B$7*(D$2-$A4-(Premissas!$B$8+Premissas!$B$9+Premissas!$B$10+Premissas!$B$11+Premissas!$B$12+Premissas!$B$7))-(Equipe!$E$12+Premissas!$B$53+Premissas!$B$54+Premissas!$B$25)</f>
      </c>
      <c r="E4">
        <f>Frota!$B$7*(E$2-$A4-(Premissas!$B$8+Premissas!$B$9+Premissas!$B$10+Premissas!$B$11+Premissas!$B$12+Premissas!$B$7))-(Equipe!$E$12+Premissas!$B$53+Premissas!$B$54+Premissas!$B$25)</f>
      </c>
      <c r="F4">
        <f>Frota!$B$7*(F$2-$A4-(Premissas!$B$8+Premissas!$B$9+Premissas!$B$10+Premissas!$B$11+Premissas!$B$12+Premissas!$B$7))-(Equipe!$E$12+Premissas!$B$53+Premissas!$B$54+Premissas!$B$25)</f>
      </c>
    </row>
    <row r="5">
      <c r="A5">
        <v>2800</v>
      </c>
      <c r="B5">
        <f>Frota!$B$7*(B$2-$A5-(Premissas!$B$8+Premissas!$B$9+Premissas!$B$10+Premissas!$B$11+Premissas!$B$12+Premissas!$B$7))-(Equipe!$E$12+Premissas!$B$53+Premissas!$B$54+Premissas!$B$25)</f>
      </c>
      <c r="C5">
        <f>Frota!$B$7*(C$2-$A5-(Premissas!$B$8+Premissas!$B$9+Premissas!$B$10+Premissas!$B$11+Premissas!$B$12+Premissas!$B$7))-(Equipe!$E$12+Premissas!$B$53+Premissas!$B$54+Premissas!$B$25)</f>
      </c>
      <c r="D5">
        <f>Frota!$B$7*(D$2-$A5-(Premissas!$B$8+Premissas!$B$9+Premissas!$B$10+Premissas!$B$11+Premissas!$B$12+Premissas!$B$7))-(Equipe!$E$12+Premissas!$B$53+Premissas!$B$54+Premissas!$B$25)</f>
      </c>
      <c r="E5">
        <f>Frota!$B$7*(E$2-$A5-(Premissas!$B$8+Premissas!$B$9+Premissas!$B$10+Premissas!$B$11+Premissas!$B$12+Premissas!$B$7))-(Equipe!$E$12+Premissas!$B$53+Premissas!$B$54+Premissas!$B$25)</f>
      </c>
      <c r="F5">
        <f>Frota!$B$7*(F$2-$A5-(Premissas!$B$8+Premissas!$B$9+Premissas!$B$10+Premissas!$B$11+Premissas!$B$12+Premissas!$B$7))-(Equipe!$E$12+Premissas!$B$53+Premissas!$B$54+Premissas!$B$25)</f>
      </c>
    </row>
    <row r="6">
      <c r="A6">
        <v>3000</v>
      </c>
      <c r="B6">
        <f>Frota!$B$7*(B$2-$A6-(Premissas!$B$8+Premissas!$B$9+Premissas!$B$10+Premissas!$B$11+Premissas!$B$12+Premissas!$B$7))-(Equipe!$E$12+Premissas!$B$53+Premissas!$B$54+Premissas!$B$25)</f>
      </c>
      <c r="C6">
        <f>Frota!$B$7*(C$2-$A6-(Premissas!$B$8+Premissas!$B$9+Premissas!$B$10+Premissas!$B$11+Premissas!$B$12+Premissas!$B$7))-(Equipe!$E$12+Premissas!$B$53+Premissas!$B$54+Premissas!$B$25)</f>
      </c>
      <c r="D6">
        <f>Frota!$B$7*(D$2-$A6-(Premissas!$B$8+Premissas!$B$9+Premissas!$B$10+Premissas!$B$11+Premissas!$B$12+Premissas!$B$7))-(Equipe!$E$12+Premissas!$B$53+Premissas!$B$54+Premissas!$B$25)</f>
      </c>
      <c r="E6">
        <f>Frota!$B$7*(E$2-$A6-(Premissas!$B$8+Premissas!$B$9+Premissas!$B$10+Premissas!$B$11+Premissas!$B$12+Premissas!$B$7))-(Equipe!$E$12+Premissas!$B$53+Premissas!$B$54+Premissas!$B$25)</f>
      </c>
      <c r="F6">
        <f>Frota!$B$7*(F$2-$A6-(Premissas!$B$8+Premissas!$B$9+Premissas!$B$10+Premissas!$B$11+Premissas!$B$12+Premissas!$B$7))-(Equipe!$E$12+Premissas!$B$53+Premissas!$B$54+Premissas!$B$25)</f>
      </c>
    </row>
    <row r="7">
      <c r="A7">
        <v>3200</v>
      </c>
      <c r="B7">
        <f>Frota!$B$7*(B$2-$A7-(Premissas!$B$8+Premissas!$B$9+Premissas!$B$10+Premissas!$B$11+Premissas!$B$12+Premissas!$B$7))-(Equipe!$E$12+Premissas!$B$53+Premissas!$B$54+Premissas!$B$25)</f>
      </c>
      <c r="C7">
        <f>Frota!$B$7*(C$2-$A7-(Premissas!$B$8+Premissas!$B$9+Premissas!$B$10+Premissas!$B$11+Premissas!$B$12+Premissas!$B$7))-(Equipe!$E$12+Premissas!$B$53+Premissas!$B$54+Premissas!$B$25)</f>
      </c>
      <c r="D7">
        <f>Frota!$B$7*(D$2-$A7-(Premissas!$B$8+Premissas!$B$9+Premissas!$B$10+Premissas!$B$11+Premissas!$B$12+Premissas!$B$7))-(Equipe!$E$12+Premissas!$B$53+Premissas!$B$54+Premissas!$B$25)</f>
      </c>
      <c r="E7">
        <f>Frota!$B$7*(E$2-$A7-(Premissas!$B$8+Premissas!$B$9+Premissas!$B$10+Premissas!$B$11+Premissas!$B$12+Premissas!$B$7))-(Equipe!$E$12+Premissas!$B$53+Premissas!$B$54+Premissas!$B$25)</f>
      </c>
      <c r="F7">
        <f>Frota!$B$7*(F$2-$A7-(Premissas!$B$8+Premissas!$B$9+Premissas!$B$10+Premissas!$B$11+Premissas!$B$12+Premissas!$B$7))-(Equipe!$E$12+Premissas!$B$53+Premissas!$B$54+Premissas!$B$25)</f>
      </c>
    </row>
    <row r="8">
      <c r="A8">
        <v>3400</v>
      </c>
      <c r="B8">
        <f>Frota!$B$7*(B$2-$A8-(Premissas!$B$8+Premissas!$B$9+Premissas!$B$10+Premissas!$B$11+Premissas!$B$12+Premissas!$B$7))-(Equipe!$E$12+Premissas!$B$53+Premissas!$B$54+Premissas!$B$25)</f>
      </c>
      <c r="C8">
        <f>Frota!$B$7*(C$2-$A8-(Premissas!$B$8+Premissas!$B$9+Premissas!$B$10+Premissas!$B$11+Premissas!$B$12+Premissas!$B$7))-(Equipe!$E$12+Premissas!$B$53+Premissas!$B$54+Premissas!$B$25)</f>
      </c>
      <c r="D8">
        <f>Frota!$B$7*(D$2-$A8-(Premissas!$B$8+Premissas!$B$9+Premissas!$B$10+Premissas!$B$11+Premissas!$B$12+Premissas!$B$7))-(Equipe!$E$12+Premissas!$B$53+Premissas!$B$54+Premissas!$B$25)</f>
      </c>
      <c r="E8">
        <f>Frota!$B$7*(E$2-$A8-(Premissas!$B$8+Premissas!$B$9+Premissas!$B$10+Premissas!$B$11+Premissas!$B$12+Premissas!$B$7))-(Equipe!$E$12+Premissas!$B$53+Premissas!$B$54+Premissas!$B$25)</f>
      </c>
      <c r="F8">
        <f>Frota!$B$7*(F$2-$A8-(Premissas!$B$8+Premissas!$B$9+Premissas!$B$10+Premissas!$B$11+Premissas!$B$12+Premissas!$B$7))-(Equipe!$E$12+Premissas!$B$53+Premissas!$B$54+Premissas!$B$25)</f>
      </c>
    </row>
  </sheetData>
  <mergeCells count="1">
    <mergeCell ref="A1:F1"/>
  </mergeCells>
  <ignoredErrors>
    <ignoredError numberStoredAsText="1" sqref="A1:F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26.83203125" customWidth="1"/>
    <col min="2" max="2" width="22.83203125" customWidth="1"/>
    <col min="3" max="3" width="22.83203125" customWidth="1"/>
    <col min="4" max="4" width="22.83203125" customWidth="1"/>
  </cols>
  <sheetData>
    <row r="1">
      <c r="A1" t="str">
        <v>INTENSE DRIVE — DASHBOARD EXECUTIVO</v>
      </c>
    </row>
    <row r="2">
      <c r="A2" t="str">
        <v/>
      </c>
    </row>
    <row r="3">
      <c r="A3" t="str">
        <v>Carros ativos (regime)</v>
      </c>
      <c r="B3" t="str">
        <v>Receita bruta /mês</v>
      </c>
      <c r="C3" t="str">
        <v>EBITDA /mês (regime)</v>
      </c>
      <c r="D3" t="str">
        <v>Lucro líquido /mês (regime)</v>
      </c>
    </row>
    <row r="4">
      <c r="A4">
        <f>Frota!B7</f>
      </c>
      <c r="B4">
        <f>Cenarios!C15</f>
      </c>
      <c r="C4">
        <f>Cenarios!C20</f>
      </c>
      <c r="D4">
        <f>Cenarios!C21</f>
      </c>
    </row>
    <row r="5">
      <c r="A5" t="str">
        <v/>
      </c>
    </row>
    <row r="6">
      <c r="A6" t="str">
        <v>Break-even (carros)</v>
      </c>
      <c r="B6" t="str">
        <v>Carros ativos atuais</v>
      </c>
      <c r="C6" t="str">
        <v>Margem contrib. /carro</v>
      </c>
      <c r="D6" t="str">
        <v>LTV / CAC</v>
      </c>
    </row>
    <row r="7">
      <c r="A7">
        <f>Unit!B12</f>
      </c>
      <c r="B7">
        <f>Frota!B7</f>
      </c>
      <c r="C7">
        <f>Unit!B5</f>
      </c>
      <c r="D7">
        <f>Unit!B9</f>
      </c>
    </row>
    <row r="8">
      <c r="A8" t="str">
        <v/>
      </c>
    </row>
    <row r="9">
      <c r="A9" t="str">
        <v>CAC</v>
      </c>
      <c r="B9" t="str">
        <v>LTV</v>
      </c>
      <c r="C9" t="str">
        <v>Payback CAC (meses)</v>
      </c>
      <c r="D9" t="str">
        <v>Caixa mínimo (36m)</v>
      </c>
    </row>
    <row r="10">
      <c r="A10">
        <f>Marketing!B12</f>
      </c>
      <c r="B10">
        <f>Motoristas!B17</f>
      </c>
      <c r="C10">
        <f>Unit!B10</f>
      </c>
      <c r="D10">
        <f>Fluxo!B7</f>
      </c>
    </row>
    <row r="11">
      <c r="A11" t="str">
        <v/>
      </c>
    </row>
    <row r="12">
      <c r="A12" t="str">
        <v>STATUS BREAK-EVEN</v>
      </c>
      <c r="B12">
        <f>IF(Frota!B7&gt;=Unit!B12,"ACIMA do break-even ✔","ABAIXO do break-even ✘")</f>
      </c>
    </row>
    <row r="13">
      <c r="A13" t="str">
        <v>Folga (carros acima do break-even)</v>
      </c>
      <c r="B13">
        <f>Unit!B12*-1+Frota!B7</f>
      </c>
    </row>
    <row r="14">
      <c r="A14" t="str">
        <v>Nota</v>
      </c>
      <c r="B14" t="str">
        <v>KPIs recalculam ao editar a aba Premissas. Cenário exibido = Base (Cenarios coluna C).</v>
      </c>
    </row>
  </sheetData>
  <mergeCells count="1">
    <mergeCell ref="A1:D1"/>
  </mergeCells>
  <ignoredErrors>
    <ignoredError numberStoredAsText="1" sqref="A1:D1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cols>
    <col min="1" max="1" width="30.83203125" customWidth="1"/>
    <col min="2" max="2" width="14.83203125" customWidth="1"/>
    <col min="3" max="3" width="10.83203125" customWidth="1"/>
    <col min="4" max="4" width="10.83203125" customWidth="1"/>
    <col min="5" max="5" width="16.83203125" customWidth="1"/>
    <col min="6" max="6" width="34.83203125" customWidth="1"/>
    <col min="7" max="7" width="16.83203125" customWidth="1"/>
    <col min="8" max="8" width="28.83203125" customWidth="1"/>
  </cols>
  <sheetData>
    <row r="1">
      <c r="A1" t="str">
        <v>RISCOS E MITIGAÇÕES</v>
      </c>
    </row>
    <row r="2">
      <c r="A2" t="str">
        <v>Risco</v>
      </c>
      <c r="B2" t="str">
        <v>Categoria</v>
      </c>
      <c r="C2" t="str">
        <v>Probab.</v>
      </c>
      <c r="D2" t="str">
        <v>Impacto</v>
      </c>
      <c r="E2" t="str">
        <v>Indicador</v>
      </c>
      <c r="F2" t="str">
        <v>Mitigação</v>
      </c>
      <c r="G2" t="str">
        <v>Responsável</v>
      </c>
      <c r="H2" t="str">
        <v>Contingência</v>
      </c>
    </row>
    <row r="3">
      <c r="A3" t="str">
        <v>CPL alto / mídia cara</v>
      </c>
      <c r="B3" t="str">
        <v>Comercial</v>
      </c>
      <c r="C3" t="str">
        <v>Média</v>
      </c>
      <c r="D3" t="str">
        <v>Alto</v>
      </c>
      <c r="E3" t="str">
        <v>CPL, CAC</v>
      </c>
      <c r="F3" t="str">
        <v>Testar canais, otimizar criativos, SEO/indicação</v>
      </c>
      <c r="G3" t="str">
        <v>Mkt</v>
      </c>
      <c r="H3" t="str">
        <v>Renegociar verba, focar orgânico</v>
      </c>
    </row>
    <row r="4">
      <c r="A4" t="str">
        <v>Baixa conversão do funil</v>
      </c>
      <c r="B4" t="str">
        <v>Comercial</v>
      </c>
      <c r="C4" t="str">
        <v>Média</v>
      </c>
      <c r="D4" t="str">
        <v>Alto</v>
      </c>
      <c r="E4" t="str">
        <v>Tx fechamento</v>
      </c>
      <c r="F4" t="str">
        <v>Roteiro de vendas, treinamento closer</v>
      </c>
      <c r="G4" t="str">
        <v>Ger. Comercial</v>
      </c>
      <c r="H4" t="str">
        <v>Ajustar oferta/preço</v>
      </c>
    </row>
    <row r="5">
      <c r="A5" t="str">
        <v>Baixa aprovação de crédito</v>
      </c>
      <c r="B5" t="str">
        <v>Crédito</v>
      </c>
      <c r="C5" t="str">
        <v>Alta</v>
      </c>
      <c r="D5" t="str">
        <v>Alto</v>
      </c>
      <c r="E5" t="str">
        <v>Tx aprovação</v>
      </c>
      <c r="F5" t="str">
        <v>Múltiplas financeiras, pré-análise</v>
      </c>
      <c r="G5" t="str">
        <v>Analista</v>
      </c>
      <c r="H5" t="str">
        <v>Público-alvo mais qualificado</v>
      </c>
    </row>
    <row r="6">
      <c r="A6" t="str">
        <v>Inadimplência</v>
      </c>
      <c r="B6" t="str">
        <v>Financeiro</v>
      </c>
      <c r="C6" t="str">
        <v>Alta</v>
      </c>
      <c r="D6" t="str">
        <v>Alto</v>
      </c>
      <c r="E6" t="str">
        <v>% inadimplência</v>
      </c>
      <c r="F6" t="str">
        <v>Caução, débito recorrente, score</v>
      </c>
      <c r="G6" t="str">
        <v>Financeiro</v>
      </c>
      <c r="H6" t="str">
        <v>Bloqueio remoto, recolhimento</v>
      </c>
    </row>
    <row r="7">
      <c r="A7" t="str">
        <v>Churn de motoristas</v>
      </c>
      <c r="B7" t="str">
        <v>Operacional</v>
      </c>
      <c r="C7" t="str">
        <v>Média</v>
      </c>
      <c r="D7" t="str">
        <v>Alto</v>
      </c>
      <c r="E7" t="str">
        <v>Churn</v>
      </c>
      <c r="F7" t="str">
        <v>Suporte ágil, benefícios, NPS</v>
      </c>
      <c r="G7" t="str">
        <v>CS</v>
      </c>
      <c r="H7" t="str">
        <v>Reengajamento, fila de espera</v>
      </c>
    </row>
    <row r="8">
      <c r="A8" t="str">
        <v>Carros parados</v>
      </c>
      <c r="B8" t="str">
        <v>Operacional</v>
      </c>
      <c r="C8" t="str">
        <v>Média</v>
      </c>
      <c r="D8" t="str">
        <v>Médio</v>
      </c>
      <c r="E8" t="str">
        <v>% parados</v>
      </c>
      <c r="F8" t="str">
        <v>Manutenção preventiva, carro reserva</v>
      </c>
      <c r="G8" t="str">
        <v>Gestor Frota</v>
      </c>
      <c r="H8" t="str">
        <v>Realocar/priorizar reparo</v>
      </c>
    </row>
    <row r="9">
      <c r="A9" t="str">
        <v>Sinistros</v>
      </c>
      <c r="B9" t="str">
        <v>Operacional</v>
      </c>
      <c r="C9" t="str">
        <v>Média</v>
      </c>
      <c r="D9" t="str">
        <v>Alto</v>
      </c>
      <c r="E9" t="str">
        <v>% sinistro</v>
      </c>
      <c r="F9" t="str">
        <v>Telemetria, seleção, treinamento</v>
      </c>
      <c r="G9" t="str">
        <v>Gestor Frota</v>
      </c>
      <c r="H9" t="str">
        <v>Seguro/franquia, laudo</v>
      </c>
    </row>
    <row r="10">
      <c r="A10" t="str">
        <v>Multas de trânsito</v>
      </c>
      <c r="B10" t="str">
        <v>Operacional</v>
      </c>
      <c r="C10" t="str">
        <v>Alta</v>
      </c>
      <c r="D10" t="str">
        <v>Médio</v>
      </c>
      <c r="E10" t="str">
        <v>Multas/carro</v>
      </c>
      <c r="F10" t="str">
        <v>Cláusula repasse, telemetria</v>
      </c>
      <c r="G10" t="str">
        <v>Gestor Frota</v>
      </c>
      <c r="H10" t="str">
        <v>Cobrança em folha/caução</v>
      </c>
    </row>
    <row r="11">
      <c r="A11" t="str">
        <v>Problemas com a locadora</v>
      </c>
      <c r="B11" t="str">
        <v>Estratégico</v>
      </c>
      <c r="C11" t="str">
        <v>Média</v>
      </c>
      <c r="D11" t="str">
        <v>Crítico</v>
      </c>
      <c r="E11" t="str">
        <v>SLA locadora</v>
      </c>
      <c r="F11" t="str">
        <v>Contrato claro, 2ª locadora</v>
      </c>
      <c r="G11" t="str">
        <v>Diretoria</v>
      </c>
      <c r="H11" t="str">
        <v>Fornecedor alternativo</v>
      </c>
    </row>
    <row r="12">
      <c r="A12" t="str">
        <v>Risco regulatório crédito/consórcio</v>
      </c>
      <c r="B12" t="str">
        <v>Jurídico</v>
      </c>
      <c r="C12" t="str">
        <v>Média</v>
      </c>
      <c r="D12" t="str">
        <v>Crítico</v>
      </c>
      <c r="E12" t="str">
        <v>Autuações</v>
      </c>
      <c r="F12" t="str">
        <v>Parceiro habilitado BACEN, jurídico</v>
      </c>
      <c r="G12" t="str">
        <v>Jurídico</v>
      </c>
      <c r="H12" t="str">
        <v>Suspender oferta</v>
      </c>
    </row>
    <row r="13">
      <c r="A13" t="str">
        <v>Promessa indevida (aprovação/contemplação)</v>
      </c>
      <c r="B13" t="str">
        <v>Jurídico</v>
      </c>
      <c r="C13" t="str">
        <v>Média</v>
      </c>
      <c r="D13" t="str">
        <v>Alto</v>
      </c>
      <c r="E13" t="str">
        <v>Reclamações</v>
      </c>
      <c r="F13" t="str">
        <v>Revisão de material, disclaimers</v>
      </c>
      <c r="G13" t="str">
        <v>Jurídico/Mkt</v>
      </c>
      <c r="H13" t="str">
        <v>Retirar peça, treinar time</v>
      </c>
    </row>
    <row r="14">
      <c r="A14" t="str">
        <v>LGPD (dados pessoais)</v>
      </c>
      <c r="B14" t="str">
        <v>Jurídico</v>
      </c>
      <c r="C14" t="str">
        <v>Média</v>
      </c>
      <c r="D14" t="str">
        <v>Alto</v>
      </c>
      <c r="E14" t="str">
        <v>Incidentes</v>
      </c>
      <c r="F14" t="str">
        <v>Consentimento, criptografia, DPO</v>
      </c>
      <c r="G14" t="str">
        <v>Jurídico</v>
      </c>
      <c r="H14" t="str">
        <v>Notificar ANPD, plano resposta</v>
      </c>
    </row>
    <row r="15">
      <c r="A15" t="str">
        <v>Fraude documental</v>
      </c>
      <c r="B15" t="str">
        <v>Crédito</v>
      </c>
      <c r="C15" t="str">
        <v>Média</v>
      </c>
      <c r="D15" t="str">
        <v>Alto</v>
      </c>
      <c r="E15" t="str">
        <v>Fraudes detect.</v>
      </c>
      <c r="F15" t="str">
        <v>Validação doc, biometria, antifraude</v>
      </c>
      <c r="G15" t="str">
        <v>Analista</v>
      </c>
      <c r="H15" t="str">
        <v>Cancelar contrato, BO</v>
      </c>
    </row>
    <row r="16">
      <c r="A16" t="str">
        <v>Mau uso do veículo</v>
      </c>
      <c r="B16" t="str">
        <v>Operacional</v>
      </c>
      <c r="C16" t="str">
        <v>Média</v>
      </c>
      <c r="D16" t="str">
        <v>Médio</v>
      </c>
      <c r="E16" t="str">
        <v>Alertas telemetria</v>
      </c>
      <c r="F16" t="str">
        <v>Termo de uso, telemetria</v>
      </c>
      <c r="G16" t="str">
        <v>Gestor Frota</v>
      </c>
      <c r="H16" t="str">
        <v>Advertência, retomada</v>
      </c>
    </row>
    <row r="17">
      <c r="A17" t="str">
        <v>Seguro alto / não incluso</v>
      </c>
      <c r="B17" t="str">
        <v>Financeiro</v>
      </c>
      <c r="C17" t="str">
        <v>Média</v>
      </c>
      <c r="D17" t="str">
        <v>Alto</v>
      </c>
      <c r="E17" t="str">
        <v>Custo seguro</v>
      </c>
      <c r="F17" t="str">
        <v>VALIDAR com locadora, cotar mercado</v>
      </c>
      <c r="G17" t="str">
        <v>Financeiro</v>
      </c>
      <c r="H17" t="str">
        <v>Repassar ao preço</v>
      </c>
    </row>
    <row r="18">
      <c r="A18" t="str">
        <v>Falta de caixa</v>
      </c>
      <c r="B18" t="str">
        <v>Financeiro</v>
      </c>
      <c r="C18" t="str">
        <v>Média</v>
      </c>
      <c r="D18" t="str">
        <v>Crítico</v>
      </c>
      <c r="E18" t="str">
        <v>Caixa acumulado</v>
      </c>
      <c r="F18" t="str">
        <v>Reserva, controle rampa, aporte</v>
      </c>
      <c r="G18" t="str">
        <v>Diretoria</v>
      </c>
      <c r="H18" t="str">
        <v>Linha de crédito, reduzir CAPEX</v>
      </c>
    </row>
    <row r="19">
      <c r="A19" t="str">
        <v>Crescimento rápido demais</v>
      </c>
      <c r="B19" t="str">
        <v>Estratégico</v>
      </c>
      <c r="C19" t="str">
        <v>Média</v>
      </c>
      <c r="D19" t="str">
        <v>Alto</v>
      </c>
      <c r="E19" t="str">
        <v>Backlog entregas</v>
      </c>
      <c r="F19" t="str">
        <v>Escalar equipe por gatilhos</v>
      </c>
      <c r="G19" t="str">
        <v>Diretoria</v>
      </c>
      <c r="H19" t="str">
        <v>Fila controlada de ativação</v>
      </c>
    </row>
  </sheetData>
  <mergeCells count="1">
    <mergeCell ref="A1:H1"/>
  </mergeCells>
  <ignoredErrors>
    <ignoredError numberStoredAsText="1" sqref="A1:H1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12.83203125" customWidth="1"/>
    <col min="2" max="2" width="50.83203125" customWidth="1"/>
    <col min="3" max="3" width="18.83203125" customWidth="1"/>
    <col min="4" max="4" width="30.83203125" customWidth="1"/>
  </cols>
  <sheetData>
    <row r="1">
      <c r="A1" t="str">
        <v>ROADMAP — 7/30/60/90 DIAS E 12 MESES</v>
      </c>
    </row>
    <row r="2">
      <c r="A2" t="str">
        <v>Horizonte</v>
      </c>
      <c r="B2" t="str">
        <v>Marco / Entrega</v>
      </c>
      <c r="C2" t="str">
        <v>Área</v>
      </c>
      <c r="D2" t="str">
        <v>Meta / Indicador</v>
      </c>
    </row>
    <row r="3">
      <c r="A3" t="str">
        <v>7 dias</v>
      </c>
      <c r="B3" t="str">
        <v>Validar aluguel/seguro com locadora (contrato 100un)</v>
      </c>
      <c r="C3" t="str">
        <v>Diretoria/Jurídico</v>
      </c>
      <c r="D3" t="str">
        <v>Custo aluguel confirmado</v>
      </c>
    </row>
    <row r="4">
      <c r="A4" t="str">
        <v>7 dias</v>
      </c>
      <c r="B4" t="str">
        <v>Fechar parceiro habilitado de crédito/consórcio (BACEN)</v>
      </c>
      <c r="C4" t="str">
        <v>Jurídico</v>
      </c>
      <c r="D4" t="str">
        <v>Compliance ok</v>
      </c>
    </row>
    <row r="5">
      <c r="A5" t="str">
        <v>7 dias</v>
      </c>
      <c r="B5" t="str">
        <v>Montar funil e criativos de mídia; definir CPL alvo</v>
      </c>
      <c r="C5" t="str">
        <v>Marketing</v>
      </c>
      <c r="D5" t="str">
        <v>Campanha no ar</v>
      </c>
    </row>
    <row r="6">
      <c r="A6" t="str">
        <v>30 dias</v>
      </c>
      <c r="B6" t="str">
        <v>Contratar e treinar time comercial (SDR/Closer)</v>
      </c>
      <c r="C6" t="str">
        <v>Comercial</v>
      </c>
      <c r="D6" t="str">
        <v>Equipe operante</v>
      </c>
    </row>
    <row r="7">
      <c r="A7" t="str">
        <v>30 dias</v>
      </c>
      <c r="B7" t="str">
        <v>Piloto com 10-15 carros ativos</v>
      </c>
      <c r="C7" t="str">
        <v>Operação</v>
      </c>
      <c r="D7" t="str">
        <v>Processo de entrega validado</v>
      </c>
    </row>
    <row r="8">
      <c r="A8" t="str">
        <v>30 dias</v>
      </c>
      <c r="B8" t="str">
        <v>Implantar telemetria, débito recorrente e caução</v>
      </c>
      <c r="C8" t="str">
        <v>Operação/Financeiro</v>
      </c>
      <c r="D8" t="str">
        <v>Cobrança automatizada</v>
      </c>
    </row>
    <row r="9">
      <c r="A9" t="str">
        <v>60 dias</v>
      </c>
      <c r="B9" t="str">
        <v>Escalar para ~40-50 carros ativos</v>
      </c>
      <c r="C9" t="str">
        <v>Operação</v>
      </c>
      <c r="D9" t="str">
        <v>Ocupação &gt; 85%</v>
      </c>
    </row>
    <row r="10">
      <c r="A10" t="str">
        <v>60 dias</v>
      </c>
      <c r="B10" t="str">
        <v>Otimizar CAC e taxa de aprovação</v>
      </c>
      <c r="C10" t="str">
        <v>Mkt/Crédito</v>
      </c>
      <c r="D10" t="str">
        <v>CAC dentro da meta</v>
      </c>
    </row>
    <row r="11">
      <c r="A11" t="str">
        <v>60 dias</v>
      </c>
      <c r="B11" t="str">
        <v>Estruturar suporte/CS e SLA</v>
      </c>
      <c r="C11" t="str">
        <v>CS</v>
      </c>
      <c r="D11" t="str">
        <v>NPS medido</v>
      </c>
    </row>
    <row r="12">
      <c r="A12" t="str">
        <v>90 dias</v>
      </c>
      <c r="B12" t="str">
        <v>Atingir ~90 carros ativos (frota cheia)</v>
      </c>
      <c r="C12" t="str">
        <v>Operação</v>
      </c>
      <c r="D12" t="str">
        <v>Break-even superado</v>
      </c>
    </row>
    <row r="13">
      <c r="A13" t="str">
        <v>90 dias</v>
      </c>
      <c r="B13" t="str">
        <v>Lançar receita complementar de consórcio</v>
      </c>
      <c r="C13" t="str">
        <v>Comercial</v>
      </c>
      <c r="D13" t="str">
        <v>Receita adicional &gt; 0</v>
      </c>
    </row>
    <row r="14">
      <c r="A14" t="str">
        <v>90 dias</v>
      </c>
      <c r="B14" t="str">
        <v>Fechar 1º trimestre no azul de EBITDA</v>
      </c>
      <c r="C14" t="str">
        <v>Diretoria</v>
      </c>
      <c r="D14" t="str">
        <v>EBITDA positivo</v>
      </c>
    </row>
    <row r="15">
      <c r="A15" t="str">
        <v>12 meses</v>
      </c>
      <c r="B15" t="str">
        <v>Renovar frota e negociar 2ª leva de veículos</v>
      </c>
      <c r="C15" t="str">
        <v>Diretoria</v>
      </c>
      <c r="D15" t="str">
        <v>Expansão contratada</v>
      </c>
    </row>
    <row r="16">
      <c r="A16" t="str">
        <v>12 meses</v>
      </c>
      <c r="B16" t="str">
        <v>Consolidar LTV/CAC &gt; 3 e churn &lt; 6%</v>
      </c>
      <c r="C16" t="str">
        <v>Comercial/CS</v>
      </c>
      <c r="D16" t="str">
        <v>Unit economics saudável</v>
      </c>
    </row>
    <row r="17">
      <c r="A17" t="str">
        <v>12 meses</v>
      </c>
      <c r="B17" t="str">
        <v>Avaliar expansão para nova praça/cidade</v>
      </c>
      <c r="C17" t="str">
        <v>Diretoria</v>
      </c>
      <c r="D17" t="str">
        <v>Plano de expansão</v>
      </c>
    </row>
  </sheetData>
  <mergeCells count="1">
    <mergeCell ref="A1:D1"/>
  </mergeCells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Intense Drive</Company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Premissas</vt:lpstr>
      <vt:lpstr>Frota</vt:lpstr>
      <vt:lpstr>Motoristas</vt:lpstr>
      <vt:lpstr>Marketing</vt:lpstr>
      <vt:lpstr>Funil</vt:lpstr>
      <vt:lpstr>Equipe</vt:lpstr>
      <vt:lpstr>Consorcio</vt:lpstr>
      <vt:lpstr>Custos</vt:lpstr>
      <vt:lpstr>DRE</vt:lpstr>
      <vt:lpstr>Fluxo</vt:lpstr>
      <vt:lpstr>Unit</vt:lpstr>
      <vt:lpstr>Cenarios</vt:lpstr>
      <vt:lpstr>Sensibilidade</vt:lpstr>
      <vt:lpstr>Dashboard</vt:lpstr>
      <vt:lpstr>Riscos</vt:lpstr>
      <vt:lpstr>Roadmap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Intense Drive</dc:creator>
  <dc:title>Modelo Financeiro Intense Drive</dc:title>
</cp:coreProperties>
</file>